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7BA2C7EB-D136-4831-80AD-2963FA18DB44}" xr6:coauthVersionLast="47" xr6:coauthVersionMax="47" xr10:uidLastSave="{00000000-0000-0000-0000-000000000000}"/>
  <bookViews>
    <workbookView xWindow="-120" yWindow="-120" windowWidth="29040" windowHeight="15720" activeTab="1" xr2:uid="{549A20DF-1DCE-4161-A6E9-A53168FF21AD}"/>
  </bookViews>
  <sheets>
    <sheet name="Sheet1" sheetId="2" r:id="rId1"/>
    <sheet name="gym_members_exercise_tracking_s" sheetId="1" r:id="rId2"/>
  </sheets>
  <definedNames>
    <definedName name="_xlchart.v1.0" hidden="1">gym_members_exercise_tracking_s!$A$2:$A$18</definedName>
  </definedNames>
  <calcPr calcId="191029"/>
  <pivotCaches>
    <pivotCache cacheId="3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</calcChain>
</file>

<file path=xl/sharedStrings.xml><?xml version="1.0" encoding="utf-8"?>
<sst xmlns="http://schemas.openxmlformats.org/spreadsheetml/2006/main" count="84" uniqueCount="41">
  <si>
    <t>Age</t>
  </si>
  <si>
    <t>Gender</t>
  </si>
  <si>
    <t>Weight (kg)</t>
  </si>
  <si>
    <t>Height (m)</t>
  </si>
  <si>
    <t>Max_BPM</t>
  </si>
  <si>
    <t>Avg_BPM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</si>
  <si>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</si>
  <si>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</si>
  <si>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</si>
  <si>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</si>
  <si>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</si>
  <si>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</si>
  <si>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</si>
  <si>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</si>
  <si>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</si>
  <si>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payment_due</t>
  </si>
  <si>
    <t>time</t>
  </si>
  <si>
    <t>Female</t>
  </si>
  <si>
    <t>Strength</t>
  </si>
  <si>
    <t>Male</t>
  </si>
  <si>
    <t>Cardio</t>
  </si>
  <si>
    <t>HIIT</t>
  </si>
  <si>
    <t>Yoga</t>
  </si>
  <si>
    <t>represent positive and negitive</t>
  </si>
  <si>
    <t>represent positive</t>
  </si>
  <si>
    <t>represent negitive</t>
  </si>
  <si>
    <t>customer</t>
  </si>
  <si>
    <t>pament_due</t>
  </si>
  <si>
    <t>represent pos and neg</t>
  </si>
  <si>
    <t>456positive</t>
  </si>
  <si>
    <t>-457negitive</t>
  </si>
  <si>
    <t>-7,895negitive</t>
  </si>
  <si>
    <t>-345negitive</t>
  </si>
  <si>
    <t>represent zero</t>
  </si>
  <si>
    <t>Count of Workout_Type</t>
  </si>
  <si>
    <t>Column1</t>
  </si>
  <si>
    <t>20-30</t>
  </si>
  <si>
    <t>30-40</t>
  </si>
  <si>
    <t>40-50</t>
  </si>
  <si>
    <t>10-20</t>
  </si>
  <si>
    <t>50-60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</si>
</sst>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0"/>
        </stop>
        <stop position="0.5">
          <color theme="7" tint="0.40000610370189521"/>
        </stop>
        <stop position="1">
          <color theme="0"/>
        </stop>
      </gradient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auto="1"/>
      </left>
      <right style="slantDashDot">
        <color auto="1"/>
      </right>
      <top style="slantDashDot">
        <color auto="1"/>
      </top>
      <bottom style="slantDashDot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3" fontId="0" fillId="0" borderId="0" xfId="0" applyNumberFormat="1"/>
    <xf numFmtId="0" fontId="0" fillId="33" borderId="0" xfId="0" applyFill="1"/>
    <xf numFmtId="21" fontId="0" fillId="33" borderId="0" xfId="0" applyNumberFormat="1" applyFill="1"/>
    <xf numFmtId="164" fontId="0" fillId="0" borderId="0" xfId="0" applyNumberFormat="1"/>
    <xf numFmtId="164" fontId="0" fillId="33" borderId="10" xfId="0" applyNumberFormat="1" applyFill="1" applyBorder="1"/>
    <xf numFmtId="0" fontId="6" fillId="2" borderId="0" xfId="6"/>
    <xf numFmtId="0" fontId="1" fillId="15" borderId="0" xfId="24"/>
    <xf numFmtId="0" fontId="1" fillId="16" borderId="0" xfId="25"/>
    <xf numFmtId="0" fontId="1" fillId="11" borderId="0" xfId="20"/>
    <xf numFmtId="0" fontId="0" fillId="0" borderId="0" xfId="0" pivotButton="1"/>
    <xf numFmtId="0" fontId="0" fillId="0" borderId="0" xfId="0" applyNumberFormat="1"/>
    <xf numFmtId="17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0" formatCode="General"/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[gym_members_exercise_tracking_synthetic_data.xlsx]Sheet1!PivotTable17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Workout_Type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Sheet1!$A$4:$A$7</c:f>
              <c:strCache>
                <c:ptCount val="4"/>
                <c:pt idx="0">
                  <c:v>Cardio</c:v>
                </c:pt>
                <c:pt idx="1">
                  <c:v>HIIT</c:v>
                </c:pt>
                <c:pt idx="2">
                  <c:v>Strength</c:v>
                </c:pt>
                <c:pt idx="3">
                  <c:v>Yoga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9-45C5-9846-127068A18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52150848"/>
        <c:axId val="1652150368"/>
      </c:barChart>
      <c:catAx>
        <c:axId val="16521508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50368"/>
        <c:crosses val="autoZero"/>
        <c:auto val="1"/>
        <c:lblAlgn val="ctr"/>
        <c:lblOffset val="100"/>
        <c:noMultiLvlLbl val="0"/>
      </c:catAx>
      <c:valAx>
        <c:axId val="16521503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15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45E-2"/>
          <c:y val="0.19486111111111112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gym_members_exercise_tracking_s!$C$1</c:f>
              <c:strCache>
                <c:ptCount val="1"/>
                <c:pt idx="0">
                  <c:v>Weight (kg)</c:v>
                </c:pt>
              </c:strCache>
            </c:strRef>
          </c:tx>
          <c:spPr>
            <a:ln w="9525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gym_members_exercise_tracking_s!$C$2:$C$19</c:f>
              <c:numCache>
                <c:formatCode>General</c:formatCode>
                <c:ptCount val="18"/>
                <c:pt idx="0">
                  <c:v>86.7</c:v>
                </c:pt>
                <c:pt idx="1">
                  <c:v>84.7</c:v>
                </c:pt>
                <c:pt idx="2">
                  <c:v>64.8</c:v>
                </c:pt>
                <c:pt idx="3">
                  <c:v>75.3</c:v>
                </c:pt>
                <c:pt idx="4">
                  <c:v>52.8</c:v>
                </c:pt>
                <c:pt idx="5">
                  <c:v>53</c:v>
                </c:pt>
                <c:pt idx="6">
                  <c:v>46.5</c:v>
                </c:pt>
                <c:pt idx="7">
                  <c:v>88.5</c:v>
                </c:pt>
                <c:pt idx="8">
                  <c:v>82.9</c:v>
                </c:pt>
                <c:pt idx="9">
                  <c:v>65.900000000000006</c:v>
                </c:pt>
                <c:pt idx="10">
                  <c:v>47</c:v>
                </c:pt>
                <c:pt idx="11">
                  <c:v>40</c:v>
                </c:pt>
                <c:pt idx="12">
                  <c:v>87.7</c:v>
                </c:pt>
                <c:pt idx="13">
                  <c:v>107.4</c:v>
                </c:pt>
                <c:pt idx="14">
                  <c:v>71.7</c:v>
                </c:pt>
                <c:pt idx="15">
                  <c:v>90.6</c:v>
                </c:pt>
                <c:pt idx="16">
                  <c:v>56.2</c:v>
                </c:pt>
                <c:pt idx="17">
                  <c:v>71.3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6D-48F7-B53A-16D24628C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683408"/>
        <c:axId val="1536684368"/>
      </c:scatterChart>
      <c:valAx>
        <c:axId val="153668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684368"/>
        <c:crosses val="autoZero"/>
        <c:crossBetween val="midCat"/>
      </c:valAx>
      <c:valAx>
        <c:axId val="15366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683408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pament_due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097112860892388E-2"/>
          <c:y val="0.19486111111111112"/>
          <c:w val="0.8320279965004374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gym_members_exercise_tracking_s!$P$2:$P$19</c:f>
              <c:numCache>
                <c:formatCode>"₹"\ #,##0.00;[Red]"₹"\ #,##0.00</c:formatCode>
                <c:ptCount val="18"/>
                <c:pt idx="0">
                  <c:v>-1111</c:v>
                </c:pt>
                <c:pt idx="1">
                  <c:v>1456</c:v>
                </c:pt>
                <c:pt idx="2">
                  <c:v>2567</c:v>
                </c:pt>
                <c:pt idx="3">
                  <c:v>-100</c:v>
                </c:pt>
                <c:pt idx="4">
                  <c:v>-456</c:v>
                </c:pt>
                <c:pt idx="5">
                  <c:v>-256</c:v>
                </c:pt>
                <c:pt idx="6">
                  <c:v>-256</c:v>
                </c:pt>
                <c:pt idx="7">
                  <c:v>-456</c:v>
                </c:pt>
                <c:pt idx="8">
                  <c:v>-356</c:v>
                </c:pt>
                <c:pt idx="9">
                  <c:v>-556</c:v>
                </c:pt>
                <c:pt idx="10">
                  <c:v>-356</c:v>
                </c:pt>
                <c:pt idx="11">
                  <c:v>-256</c:v>
                </c:pt>
                <c:pt idx="12">
                  <c:v>356</c:v>
                </c:pt>
                <c:pt idx="13">
                  <c:v>214</c:v>
                </c:pt>
                <c:pt idx="14">
                  <c:v>56</c:v>
                </c:pt>
                <c:pt idx="15">
                  <c:v>456</c:v>
                </c:pt>
                <c:pt idx="16">
                  <c:v>-456</c:v>
                </c:pt>
                <c:pt idx="17">
                  <c:v>-556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7-4ABD-8DD4-B67253B0F2A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16021056"/>
        <c:axId val="1816021536"/>
      </c:barChart>
      <c:catAx>
        <c:axId val="181602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21536"/>
        <c:crosses val="autoZero"/>
        <c:auto val="1"/>
        <c:lblAlgn val="ctr"/>
        <c:lblOffset val="100"/>
        <c:noMultiLvlLbl val="0"/>
      </c:catAx>
      <c:valAx>
        <c:axId val="181602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[Red]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02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gym_members_exercise_tracking_s!$D$2:$D$19</c:f>
              <c:numCache>
                <c:formatCode>General</c:formatCode>
                <c:ptCount val="18"/>
                <c:pt idx="0">
                  <c:v>1.86</c:v>
                </c:pt>
                <c:pt idx="1">
                  <c:v>1.83</c:v>
                </c:pt>
                <c:pt idx="2">
                  <c:v>1.85</c:v>
                </c:pt>
                <c:pt idx="3">
                  <c:v>1.82</c:v>
                </c:pt>
                <c:pt idx="4">
                  <c:v>1.74</c:v>
                </c:pt>
                <c:pt idx="5">
                  <c:v>1.58</c:v>
                </c:pt>
                <c:pt idx="6">
                  <c:v>1.81</c:v>
                </c:pt>
                <c:pt idx="7">
                  <c:v>1.63</c:v>
                </c:pt>
                <c:pt idx="8">
                  <c:v>1.54</c:v>
                </c:pt>
                <c:pt idx="9">
                  <c:v>1.74</c:v>
                </c:pt>
                <c:pt idx="10">
                  <c:v>1.78</c:v>
                </c:pt>
                <c:pt idx="11">
                  <c:v>1.88</c:v>
                </c:pt>
                <c:pt idx="12">
                  <c:v>1.98</c:v>
                </c:pt>
                <c:pt idx="13">
                  <c:v>1.73</c:v>
                </c:pt>
                <c:pt idx="14">
                  <c:v>1.91</c:v>
                </c:pt>
                <c:pt idx="15">
                  <c:v>1.6</c:v>
                </c:pt>
                <c:pt idx="16">
                  <c:v>1.76</c:v>
                </c:pt>
                <c:pt idx="17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74-40D0-991C-14307947FED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777088"/>
        <c:axId val="1834775168"/>
      </c:lineChart>
      <c:catAx>
        <c:axId val="183477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775168"/>
        <c:crosses val="autoZero"/>
        <c:auto val="1"/>
        <c:lblAlgn val="ctr"/>
        <c:lblOffset val="100"/>
        <c:noMultiLvlLbl val="0"/>
      </c:catAx>
      <c:valAx>
        <c:axId val="18347751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3477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77537182852145E-2"/>
          <c:y val="0.19486111111111112"/>
          <c:w val="0.87755796150481191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gym_members_exercise_tracking_s!$D$1</c:f>
              <c:strCache>
                <c:ptCount val="1"/>
                <c:pt idx="0">
                  <c:v>Height (m)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gym_members_exercise_tracking_s!$C$2:$C$19</c:f>
              <c:numCache>
                <c:formatCode>General</c:formatCode>
                <c:ptCount val="18"/>
                <c:pt idx="0">
                  <c:v>86.7</c:v>
                </c:pt>
                <c:pt idx="1">
                  <c:v>84.7</c:v>
                </c:pt>
                <c:pt idx="2">
                  <c:v>64.8</c:v>
                </c:pt>
                <c:pt idx="3">
                  <c:v>75.3</c:v>
                </c:pt>
                <c:pt idx="4">
                  <c:v>52.8</c:v>
                </c:pt>
                <c:pt idx="5">
                  <c:v>53</c:v>
                </c:pt>
                <c:pt idx="6">
                  <c:v>46.5</c:v>
                </c:pt>
                <c:pt idx="7">
                  <c:v>88.5</c:v>
                </c:pt>
                <c:pt idx="8">
                  <c:v>82.9</c:v>
                </c:pt>
                <c:pt idx="9">
                  <c:v>65.900000000000006</c:v>
                </c:pt>
                <c:pt idx="10">
                  <c:v>47</c:v>
                </c:pt>
                <c:pt idx="11">
                  <c:v>40</c:v>
                </c:pt>
                <c:pt idx="12">
                  <c:v>87.7</c:v>
                </c:pt>
                <c:pt idx="13">
                  <c:v>107.4</c:v>
                </c:pt>
                <c:pt idx="14">
                  <c:v>71.7</c:v>
                </c:pt>
                <c:pt idx="15">
                  <c:v>90.6</c:v>
                </c:pt>
                <c:pt idx="16">
                  <c:v>56.2</c:v>
                </c:pt>
                <c:pt idx="17">
                  <c:v>71.3</c:v>
                </c:pt>
              </c:numCache>
            </c:numRef>
          </c:xVal>
          <c:yVal>
            <c:numRef>
              <c:f>gym_members_exercise_tracking_s!$D$2:$D$19</c:f>
              <c:numCache>
                <c:formatCode>General</c:formatCode>
                <c:ptCount val="18"/>
                <c:pt idx="0">
                  <c:v>1.86</c:v>
                </c:pt>
                <c:pt idx="1">
                  <c:v>1.83</c:v>
                </c:pt>
                <c:pt idx="2">
                  <c:v>1.85</c:v>
                </c:pt>
                <c:pt idx="3">
                  <c:v>1.82</c:v>
                </c:pt>
                <c:pt idx="4">
                  <c:v>1.74</c:v>
                </c:pt>
                <c:pt idx="5">
                  <c:v>1.58</c:v>
                </c:pt>
                <c:pt idx="6">
                  <c:v>1.81</c:v>
                </c:pt>
                <c:pt idx="7">
                  <c:v>1.63</c:v>
                </c:pt>
                <c:pt idx="8">
                  <c:v>1.54</c:v>
                </c:pt>
                <c:pt idx="9">
                  <c:v>1.74</c:v>
                </c:pt>
                <c:pt idx="10">
                  <c:v>1.78</c:v>
                </c:pt>
                <c:pt idx="11">
                  <c:v>1.88</c:v>
                </c:pt>
                <c:pt idx="12">
                  <c:v>1.98</c:v>
                </c:pt>
                <c:pt idx="13">
                  <c:v>1.73</c:v>
                </c:pt>
                <c:pt idx="14">
                  <c:v>1.91</c:v>
                </c:pt>
                <c:pt idx="15">
                  <c:v>1.6</c:v>
                </c:pt>
                <c:pt idx="16">
                  <c:v>1.76</c:v>
                </c:pt>
                <c:pt idx="17">
                  <c:v>1.77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17-4938-9C8B-1333D8A57D3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854967664"/>
        <c:axId val="1854965264"/>
      </c:scatterChart>
      <c:valAx>
        <c:axId val="185496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65264"/>
        <c:crosses val="autoZero"/>
        <c:crossBetween val="midCat"/>
      </c:valAx>
      <c:valAx>
        <c:axId val="18549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96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fat and water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gym_members_exercise_tracking_s!$K$2:$K$19</c:f>
              <c:numCache>
                <c:formatCode>General</c:formatCode>
                <c:ptCount val="18"/>
                <c:pt idx="0">
                  <c:v>12.8</c:v>
                </c:pt>
                <c:pt idx="1">
                  <c:v>27.9</c:v>
                </c:pt>
                <c:pt idx="2">
                  <c:v>28.7</c:v>
                </c:pt>
                <c:pt idx="3">
                  <c:v>31.8</c:v>
                </c:pt>
                <c:pt idx="4">
                  <c:v>26.4</c:v>
                </c:pt>
                <c:pt idx="5">
                  <c:v>23.4</c:v>
                </c:pt>
                <c:pt idx="6">
                  <c:v>11.9</c:v>
                </c:pt>
                <c:pt idx="7">
                  <c:v>11.6</c:v>
                </c:pt>
                <c:pt idx="8">
                  <c:v>27.8</c:v>
                </c:pt>
                <c:pt idx="9">
                  <c:v>30.5</c:v>
                </c:pt>
                <c:pt idx="10">
                  <c:v>31.7</c:v>
                </c:pt>
                <c:pt idx="11">
                  <c:v>25.4</c:v>
                </c:pt>
                <c:pt idx="12">
                  <c:v>1</c:v>
                </c:pt>
                <c:pt idx="13">
                  <c:v>26</c:v>
                </c:pt>
                <c:pt idx="14">
                  <c:v>32.5</c:v>
                </c:pt>
                <c:pt idx="15">
                  <c:v>16</c:v>
                </c:pt>
                <c:pt idx="16">
                  <c:v>23.9</c:v>
                </c:pt>
                <c:pt idx="17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B-4FFE-8FBF-4B25340088B9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gym_members_exercise_tracking_s!$L$2:$L$19</c:f>
              <c:numCache>
                <c:formatCode>General</c:formatCode>
                <c:ptCount val="18"/>
                <c:pt idx="0">
                  <c:v>2.4</c:v>
                </c:pt>
                <c:pt idx="1">
                  <c:v>2.8</c:v>
                </c:pt>
                <c:pt idx="2">
                  <c:v>1.9</c:v>
                </c:pt>
                <c:pt idx="3">
                  <c:v>2.4</c:v>
                </c:pt>
                <c:pt idx="4">
                  <c:v>3.2</c:v>
                </c:pt>
                <c:pt idx="5">
                  <c:v>2.5</c:v>
                </c:pt>
                <c:pt idx="6">
                  <c:v>3.7</c:v>
                </c:pt>
                <c:pt idx="7">
                  <c:v>1.8</c:v>
                </c:pt>
                <c:pt idx="8">
                  <c:v>2.2000000000000002</c:v>
                </c:pt>
                <c:pt idx="9">
                  <c:v>3.2</c:v>
                </c:pt>
                <c:pt idx="10">
                  <c:v>2.2999999999999998</c:v>
                </c:pt>
                <c:pt idx="11">
                  <c:v>2.4</c:v>
                </c:pt>
                <c:pt idx="12">
                  <c:v>2.2999999999999998</c:v>
                </c:pt>
                <c:pt idx="13">
                  <c:v>3</c:v>
                </c:pt>
                <c:pt idx="14">
                  <c:v>2.7</c:v>
                </c:pt>
                <c:pt idx="15">
                  <c:v>3.5</c:v>
                </c:pt>
                <c:pt idx="16">
                  <c:v>3.2</c:v>
                </c:pt>
                <c:pt idx="17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CB-4FFE-8FBF-4B253400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8936016"/>
        <c:axId val="1858929776"/>
      </c:barChart>
      <c:catAx>
        <c:axId val="185893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29776"/>
        <c:crosses val="autoZero"/>
        <c:auto val="1"/>
        <c:lblAlgn val="ctr"/>
        <c:lblOffset val="100"/>
        <c:noMultiLvlLbl val="0"/>
      </c:catAx>
      <c:valAx>
        <c:axId val="18589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work_outs and exprience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gym_members_exercise_tracking_s!$M$2:$M$19</c:f>
              <c:numCache>
                <c:formatCode>General</c:formatCode>
                <c:ptCount val="18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C-40E1-973F-BEB63471767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gym_members_exercise_tracking_s!$N$2:$N$19</c:f>
              <c:numCache>
                <c:formatCode>General</c:formatCode>
                <c:ptCount val="1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C-40E1-973F-BEB634717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39928864"/>
        <c:axId val="1839930784"/>
      </c:barChart>
      <c:catAx>
        <c:axId val="183992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930784"/>
        <c:crosses val="autoZero"/>
        <c:auto val="1"/>
        <c:lblAlgn val="ctr"/>
        <c:lblOffset val="100"/>
        <c:noMultiLvlLbl val="0"/>
      </c:catAx>
      <c:valAx>
        <c:axId val="18399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92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</a:t>
            </a:r>
            <a:r>
              <a:rPr lang="en-IN" baseline="0"/>
              <a:t> out and calories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gym_members_exercise_tracking_s!$J$2:$J$19</c:f>
              <c:strCache>
                <c:ptCount val="18"/>
                <c:pt idx="0">
                  <c:v>Strength</c:v>
                </c:pt>
                <c:pt idx="1">
                  <c:v>Strength</c:v>
                </c:pt>
                <c:pt idx="2">
                  <c:v>Cardio</c:v>
                </c:pt>
                <c:pt idx="3">
                  <c:v>Cardio</c:v>
                </c:pt>
                <c:pt idx="4">
                  <c:v>Strength</c:v>
                </c:pt>
                <c:pt idx="5">
                  <c:v>HIIT</c:v>
                </c:pt>
                <c:pt idx="6">
                  <c:v>Cardio</c:v>
                </c:pt>
                <c:pt idx="7">
                  <c:v>Strength</c:v>
                </c:pt>
                <c:pt idx="8">
                  <c:v>HIIT</c:v>
                </c:pt>
                <c:pt idx="9">
                  <c:v>Yoga</c:v>
                </c:pt>
                <c:pt idx="10">
                  <c:v>Yoga</c:v>
                </c:pt>
                <c:pt idx="11">
                  <c:v>Yoga</c:v>
                </c:pt>
                <c:pt idx="12">
                  <c:v>Strength</c:v>
                </c:pt>
                <c:pt idx="13">
                  <c:v>HIIT</c:v>
                </c:pt>
                <c:pt idx="14">
                  <c:v>Cardio</c:v>
                </c:pt>
                <c:pt idx="15">
                  <c:v>Yoga</c:v>
                </c:pt>
                <c:pt idx="16">
                  <c:v>HIIT</c:v>
                </c:pt>
                <c:pt idx="17">
                  <c:v>Cardio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numRef>
              <c:f>gym_members_exercise_tracking_s!$I$2:$I$19</c:f>
              <c:numCache>
                <c:formatCode>General</c:formatCode>
                <c:ptCount val="18"/>
                <c:pt idx="0">
                  <c:v>712</c:v>
                </c:pt>
                <c:pt idx="1">
                  <c:v>833</c:v>
                </c:pt>
                <c:pt idx="2">
                  <c:v>1678</c:v>
                </c:pt>
                <c:pt idx="3">
                  <c:v>628</c:v>
                </c:pt>
                <c:pt idx="4">
                  <c:v>1286</c:v>
                </c:pt>
                <c:pt idx="5">
                  <c:v>953</c:v>
                </c:pt>
                <c:pt idx="6">
                  <c:v>1238</c:v>
                </c:pt>
                <c:pt idx="7">
                  <c:v>829</c:v>
                </c:pt>
                <c:pt idx="8">
                  <c:v>802</c:v>
                </c:pt>
                <c:pt idx="9">
                  <c:v>1231</c:v>
                </c:pt>
                <c:pt idx="10">
                  <c:v>747</c:v>
                </c:pt>
                <c:pt idx="11">
                  <c:v>672</c:v>
                </c:pt>
                <c:pt idx="12">
                  <c:v>1705</c:v>
                </c:pt>
                <c:pt idx="13">
                  <c:v>1564</c:v>
                </c:pt>
                <c:pt idx="14">
                  <c:v>464</c:v>
                </c:pt>
                <c:pt idx="15">
                  <c:v>1410</c:v>
                </c:pt>
                <c:pt idx="16">
                  <c:v>1195</c:v>
                </c:pt>
                <c:pt idx="17">
                  <c:v>871</c:v>
                </c:pt>
              </c:numCache>
            </c:numRef>
          </c:cat>
          <c:val>
            <c:numRef>
              <c:f>gym_members_exercise_tracking_s!$K$2:$K$19</c:f>
              <c:numCache>
                <c:formatCode>General</c:formatCode>
                <c:ptCount val="18"/>
                <c:pt idx="0">
                  <c:v>12.8</c:v>
                </c:pt>
                <c:pt idx="1">
                  <c:v>27.9</c:v>
                </c:pt>
                <c:pt idx="2">
                  <c:v>28.7</c:v>
                </c:pt>
                <c:pt idx="3">
                  <c:v>31.8</c:v>
                </c:pt>
                <c:pt idx="4">
                  <c:v>26.4</c:v>
                </c:pt>
                <c:pt idx="5">
                  <c:v>23.4</c:v>
                </c:pt>
                <c:pt idx="6">
                  <c:v>11.9</c:v>
                </c:pt>
                <c:pt idx="7">
                  <c:v>11.6</c:v>
                </c:pt>
                <c:pt idx="8">
                  <c:v>27.8</c:v>
                </c:pt>
                <c:pt idx="9">
                  <c:v>30.5</c:v>
                </c:pt>
                <c:pt idx="10">
                  <c:v>31.7</c:v>
                </c:pt>
                <c:pt idx="11">
                  <c:v>25.4</c:v>
                </c:pt>
                <c:pt idx="12">
                  <c:v>1</c:v>
                </c:pt>
                <c:pt idx="13">
                  <c:v>26</c:v>
                </c:pt>
                <c:pt idx="14">
                  <c:v>32.5</c:v>
                </c:pt>
                <c:pt idx="15">
                  <c:v>16</c:v>
                </c:pt>
                <c:pt idx="16">
                  <c:v>23.9</c:v>
                </c:pt>
                <c:pt idx="17">
                  <c:v>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1-4596-ACEF-971F19E62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858934096"/>
        <c:axId val="1858930256"/>
      </c:barChart>
      <c:catAx>
        <c:axId val="1858934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0256"/>
        <c:crosses val="autoZero"/>
        <c:auto val="1"/>
        <c:lblAlgn val="ctr"/>
        <c:lblOffset val="100"/>
        <c:noMultiLvlLbl val="0"/>
      </c:catAx>
      <c:valAx>
        <c:axId val="1858930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weight_and_height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886482939632541E-2"/>
          <c:y val="0.17171296296296298"/>
          <c:w val="0.87755796150481191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gym_members_exercise_tracking_s!$C$2:$C$19</c:f>
              <c:numCache>
                <c:formatCode>General</c:formatCode>
                <c:ptCount val="18"/>
                <c:pt idx="0">
                  <c:v>86.7</c:v>
                </c:pt>
                <c:pt idx="1">
                  <c:v>84.7</c:v>
                </c:pt>
                <c:pt idx="2">
                  <c:v>64.8</c:v>
                </c:pt>
                <c:pt idx="3">
                  <c:v>75.3</c:v>
                </c:pt>
                <c:pt idx="4">
                  <c:v>52.8</c:v>
                </c:pt>
                <c:pt idx="5">
                  <c:v>53</c:v>
                </c:pt>
                <c:pt idx="6">
                  <c:v>46.5</c:v>
                </c:pt>
                <c:pt idx="7">
                  <c:v>88.5</c:v>
                </c:pt>
                <c:pt idx="8">
                  <c:v>82.9</c:v>
                </c:pt>
                <c:pt idx="9">
                  <c:v>65.900000000000006</c:v>
                </c:pt>
                <c:pt idx="10">
                  <c:v>47</c:v>
                </c:pt>
                <c:pt idx="11">
                  <c:v>40</c:v>
                </c:pt>
                <c:pt idx="12">
                  <c:v>87.7</c:v>
                </c:pt>
                <c:pt idx="13">
                  <c:v>107.4</c:v>
                </c:pt>
                <c:pt idx="14">
                  <c:v>71.7</c:v>
                </c:pt>
                <c:pt idx="15">
                  <c:v>90.6</c:v>
                </c:pt>
                <c:pt idx="16">
                  <c:v>56.2</c:v>
                </c:pt>
                <c:pt idx="17">
                  <c:v>71.3</c:v>
                </c:pt>
              </c:numCache>
            </c:numRef>
          </c:xVal>
          <c:yVal>
            <c:numRef>
              <c:f>gym_members_exercise_tracking_s!$D$2:$D$19</c:f>
              <c:numCache>
                <c:formatCode>General</c:formatCode>
                <c:ptCount val="18"/>
                <c:pt idx="0">
                  <c:v>1.86</c:v>
                </c:pt>
                <c:pt idx="1">
                  <c:v>1.83</c:v>
                </c:pt>
                <c:pt idx="2">
                  <c:v>1.85</c:v>
                </c:pt>
                <c:pt idx="3">
                  <c:v>1.82</c:v>
                </c:pt>
                <c:pt idx="4">
                  <c:v>1.74</c:v>
                </c:pt>
                <c:pt idx="5">
                  <c:v>1.58</c:v>
                </c:pt>
                <c:pt idx="6">
                  <c:v>1.81</c:v>
                </c:pt>
                <c:pt idx="7">
                  <c:v>1.63</c:v>
                </c:pt>
                <c:pt idx="8">
                  <c:v>1.54</c:v>
                </c:pt>
                <c:pt idx="9">
                  <c:v>1.74</c:v>
                </c:pt>
                <c:pt idx="10">
                  <c:v>1.78</c:v>
                </c:pt>
                <c:pt idx="11">
                  <c:v>1.88</c:v>
                </c:pt>
                <c:pt idx="12">
                  <c:v>1.98</c:v>
                </c:pt>
                <c:pt idx="13">
                  <c:v>1.73</c:v>
                </c:pt>
                <c:pt idx="14">
                  <c:v>1.91</c:v>
                </c:pt>
                <c:pt idx="15">
                  <c:v>1.6</c:v>
                </c:pt>
                <c:pt idx="16">
                  <c:v>1.76</c:v>
                </c:pt>
                <c:pt idx="17">
                  <c:v>1.77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C-43A2-AC7A-B9B17B245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782688"/>
        <c:axId val="1938775488"/>
      </c:scatterChart>
      <c:valAx>
        <c:axId val="193878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775488"/>
        <c:crosses val="autoZero"/>
        <c:crossBetween val="midCat"/>
      </c:valAx>
      <c:valAx>
        <c:axId val="19387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78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</a:t>
          </a:r>
        </a:p>
      </cx:txPr>
    </cx:title>
    <cx:plotArea>
      <cx:plotAreaRegion>
        <cx:series layoutId="clusteredColumn" uniqueId="{7EF0289C-169C-49BA-9481-6A40076D7DCA}">
          <cx:dataId val="0"/>
          <cx:layoutPr>
            <cx:binning intervalClosed="r"/>
          </cx:layoutPr>
          <cx:axisId val="1"/>
        </cx:series>
        <cx:series layoutId="paretoLine" ownerIdx="0" uniqueId="{6339C6DF-AE84-4260-8B7D-BAED3AFBF64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microsoft.com/office/2014/relationships/chartEx" Target="../charts/chartEx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14287</xdr:rowOff>
    </xdr:from>
    <xdr:to>
      <xdr:col>10</xdr:col>
      <xdr:colOff>219075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5469BD-384D-E402-5B48-448FA2D6D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304800</xdr:colOff>
      <xdr:row>1</xdr:row>
      <xdr:rowOff>42862</xdr:rowOff>
    </xdr:from>
    <xdr:to>
      <xdr:col>24</xdr:col>
      <xdr:colOff>257175</xdr:colOff>
      <xdr:row>14</xdr:row>
      <xdr:rowOff>185737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B19B5F3-D26D-19CC-B818-8299074811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25350" y="2428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304800</xdr:colOff>
      <xdr:row>15</xdr:row>
      <xdr:rowOff>52387</xdr:rowOff>
    </xdr:from>
    <xdr:to>
      <xdr:col>24</xdr:col>
      <xdr:colOff>257175</xdr:colOff>
      <xdr:row>29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FAEFDE-3AF4-8AAF-03F0-3B327D7D90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276225</xdr:colOff>
      <xdr:row>20</xdr:row>
      <xdr:rowOff>109537</xdr:rowOff>
    </xdr:from>
    <xdr:to>
      <xdr:col>17</xdr:col>
      <xdr:colOff>142875</xdr:colOff>
      <xdr:row>34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B4CD78-B224-C87E-AEAB-4B5B51088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485775</xdr:colOff>
      <xdr:row>30</xdr:row>
      <xdr:rowOff>23812</xdr:rowOff>
    </xdr:from>
    <xdr:to>
      <xdr:col>24</xdr:col>
      <xdr:colOff>438150</xdr:colOff>
      <xdr:row>44</xdr:row>
      <xdr:rowOff>100012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B1028D-B361-8A0D-39E2-5753C9F8A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533400</xdr:colOff>
      <xdr:row>0</xdr:row>
      <xdr:rowOff>71437</xdr:rowOff>
    </xdr:from>
    <xdr:to>
      <xdr:col>32</xdr:col>
      <xdr:colOff>228600</xdr:colOff>
      <xdr:row>14</xdr:row>
      <xdr:rowOff>14287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E88EAC3-B05F-AFFC-1D25-B7B63316A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561975</xdr:colOff>
      <xdr:row>14</xdr:row>
      <xdr:rowOff>52387</xdr:rowOff>
    </xdr:from>
    <xdr:to>
      <xdr:col>32</xdr:col>
      <xdr:colOff>257175</xdr:colOff>
      <xdr:row>28</xdr:row>
      <xdr:rowOff>80962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860A931-B246-5F67-C4C7-785B7CBD8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190500</xdr:colOff>
      <xdr:row>29</xdr:row>
      <xdr:rowOff>100012</xdr:rowOff>
    </xdr:from>
    <xdr:to>
      <xdr:col>32</xdr:col>
      <xdr:colOff>495300</xdr:colOff>
      <xdr:row>43</xdr:row>
      <xdr:rowOff>176212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2349D5-3F80-4F0E-67C2-510CBA250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457200</xdr:colOff>
      <xdr:row>20</xdr:row>
      <xdr:rowOff>147637</xdr:rowOff>
    </xdr:from>
    <xdr:to>
      <xdr:col>11</xdr:col>
      <xdr:colOff>152400</xdr:colOff>
      <xdr:row>35</xdr:row>
      <xdr:rowOff>33337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D03A45B-6A71-5CD3-F6FF-A4D8562B1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38</xdr:row>
      <xdr:rowOff>75009</xdr:rowOff>
    </xdr:from>
    <xdr:to>
      <xdr:col>6</xdr:col>
      <xdr:colOff>523874</xdr:colOff>
      <xdr:row>52</xdr:row>
      <xdr:rowOff>151209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53FDB77-4832-49A4-F119-BAC8DEA28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65253587962" createdVersion="8" refreshedVersion="8" minRefreshableVersion="3" recordCount="18" xr:uid="{CD853A19-6ECD-41D7-AD0E-C136CC316A92}">
  <cacheSource type="worksheet">
    <worksheetSource ref="A1:Q19" sheet="gym_members_exercise_tracking_s"/>
  </cacheSource>
  <cacheFields count="17">
    <cacheField name="Age" numFmtId="0">
      <sharedItems containsSemiMixedTypes="0" containsString="0" containsNumber="1" containsInteger="1" minValue="18" maxValue="56"/>
    </cacheField>
    <cacheField name="Gender" numFmtId="0">
      <sharedItems/>
    </cacheField>
    <cacheField name="Weight (kg)" numFmtId="0">
      <sharedItems containsSemiMixedTypes="0" containsString="0" containsNumber="1" minValue="40" maxValue="107.4"/>
    </cacheField>
    <cacheField name="Height (m)" numFmtId="0">
      <sharedItems containsSemiMixedTypes="0" containsString="0" containsNumber="1" minValue="1.54" maxValue="1.98"/>
    </cacheField>
    <cacheField name="Max_BPM" numFmtId="0">
      <sharedItems containsSemiMixedTypes="0" containsString="0" containsNumber="1" containsInteger="1" minValue="161" maxValue="197"/>
    </cacheField>
    <cacheField name="Avg_BPM" numFmtId="0">
      <sharedItems containsSemiMixedTypes="0" containsString="0" containsNumber="1" containsInteger="1" minValue="124" maxValue="169"/>
    </cacheField>
    <cacheField name="Resting_BPM" numFmtId="0">
      <sharedItems containsSemiMixedTypes="0" containsString="0" containsNumber="1" containsInteger="1" minValue="50" maxValue="74"/>
    </cacheField>
    <cacheField name="Session_Duration (hours)" numFmtId="0">
      <sharedItems containsSemiMixedTypes="0" containsString="0" containsNumber="1" minValue="0.65" maxValue="2"/>
    </cacheField>
    <cacheField name="Calories_Burned" numFmtId="0">
      <sharedItems containsSemiMixedTypes="0" containsString="0" containsNumber="1" containsInteger="1" minValue="464" maxValue="1705"/>
    </cacheField>
    <cacheField name="Workout_Type" numFmtId="0">
      <sharedItems count="4">
        <s v="Strength"/>
        <s v="Cardio"/>
        <s v="HIIT"/>
        <s v="Yoga"/>
      </sharedItems>
    </cacheField>
    <cacheField name="Fat_Percentage" numFmtId="0">
      <sharedItems containsSemiMixedTypes="0" containsString="0" containsNumber="1" minValue="1" maxValue="32.5"/>
    </cacheField>
    <cacheField name="Water_Intake (liters)" numFmtId="0">
      <sharedItems containsSemiMixedTypes="0" containsString="0" containsNumber="1" minValue="1.8" maxValue="3.7"/>
    </cacheField>
    <cacheField name="Workout_Frequency (days/week)" numFmtId="0">
      <sharedItems containsSemiMixedTypes="0" containsString="0" containsNumber="1" containsInteger="1" minValue="2" maxValue="5"/>
    </cacheField>
    <cacheField name="Experience_Level" numFmtId="0">
      <sharedItems containsSemiMixedTypes="0" containsString="0" containsNumber="1" containsInteger="1" minValue="1" maxValue="3"/>
    </cacheField>
    <cacheField name="BMI" numFmtId="0">
      <sharedItems containsSemiMixedTypes="0" containsString="0" containsNumber="1" minValue="12.32" maxValue="49.84"/>
    </cacheField>
    <cacheField name="payment_due" numFmtId="164">
      <sharedItems containsSemiMixedTypes="0" containsString="0" containsNumber="1" containsInteger="1" minValue="-1111" maxValue="2567"/>
    </cacheField>
    <cacheField name="time" numFmtId="21">
      <sharedItems containsSemiMixedTypes="0" containsNonDate="0" containsDate="1" containsString="0" minDate="1899-12-30T02:05:01" maxDate="1899-12-30T15:45: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34"/>
    <s v="Female"/>
    <n v="86.7"/>
    <n v="1.86"/>
    <n v="174"/>
    <n v="152"/>
    <n v="74"/>
    <n v="1.1200000000000001"/>
    <n v="712"/>
    <x v="0"/>
    <n v="12.8"/>
    <n v="2.4"/>
    <n v="5"/>
    <n v="2"/>
    <n v="14.31"/>
    <n v="-1111"/>
    <d v="1899-12-30T03:30:45"/>
  </r>
  <r>
    <n v="26"/>
    <s v="Female"/>
    <n v="84.7"/>
    <n v="1.83"/>
    <n v="166"/>
    <n v="156"/>
    <n v="73"/>
    <n v="1"/>
    <n v="833"/>
    <x v="0"/>
    <n v="27.9"/>
    <n v="2.8"/>
    <n v="5"/>
    <n v="2"/>
    <n v="33.49"/>
    <n v="1456"/>
    <d v="1899-12-30T12:04:19"/>
  </r>
  <r>
    <n v="22"/>
    <s v="Male"/>
    <n v="64.8"/>
    <n v="1.85"/>
    <n v="187"/>
    <n v="166"/>
    <n v="64"/>
    <n v="1.24"/>
    <n v="1678"/>
    <x v="1"/>
    <n v="28.7"/>
    <n v="1.9"/>
    <n v="3"/>
    <n v="2"/>
    <n v="12.73"/>
    <n v="2567"/>
    <d v="1899-12-30T15:45:16"/>
  </r>
  <r>
    <n v="54"/>
    <s v="Female"/>
    <n v="75.3"/>
    <n v="1.82"/>
    <n v="187"/>
    <n v="169"/>
    <n v="58"/>
    <n v="1.45"/>
    <n v="628"/>
    <x v="1"/>
    <n v="31.8"/>
    <n v="2.4"/>
    <n v="4"/>
    <n v="1"/>
    <n v="20.37"/>
    <n v="-100"/>
    <d v="1899-12-30T02:05:01"/>
  </r>
  <r>
    <n v="34"/>
    <s v="Female"/>
    <n v="52.8"/>
    <n v="1.74"/>
    <n v="177"/>
    <n v="169"/>
    <n v="66"/>
    <n v="1.6"/>
    <n v="1286"/>
    <x v="0"/>
    <n v="26.4"/>
    <n v="3.2"/>
    <n v="4"/>
    <n v="2"/>
    <n v="20.83"/>
    <n v="-456"/>
    <d v="1899-12-30T02:13:19"/>
  </r>
  <r>
    <n v="38"/>
    <s v="Female"/>
    <n v="53"/>
    <n v="1.58"/>
    <n v="161"/>
    <n v="128"/>
    <n v="74"/>
    <n v="1.62"/>
    <n v="953"/>
    <x v="2"/>
    <n v="23.4"/>
    <n v="2.5"/>
    <n v="2"/>
    <n v="2"/>
    <n v="13.02"/>
    <n v="-256"/>
    <d v="1899-12-30T02:05:19"/>
  </r>
  <r>
    <n v="44"/>
    <s v="Female"/>
    <n v="46.5"/>
    <n v="1.81"/>
    <n v="191"/>
    <n v="142"/>
    <n v="74"/>
    <n v="1.46"/>
    <n v="1238"/>
    <x v="1"/>
    <n v="11.9"/>
    <n v="3.7"/>
    <n v="2"/>
    <n v="2"/>
    <n v="18.12"/>
    <n v="-256"/>
    <d v="1899-12-30T02:45:19"/>
  </r>
  <r>
    <n v="50"/>
    <s v="Female"/>
    <n v="88.5"/>
    <n v="1.63"/>
    <n v="181"/>
    <n v="136"/>
    <n v="63"/>
    <n v="1.63"/>
    <n v="829"/>
    <x v="0"/>
    <n v="11.6"/>
    <n v="1.8"/>
    <n v="4"/>
    <n v="2"/>
    <n v="19.16"/>
    <n v="-456"/>
    <d v="1899-12-30T06:05:19"/>
  </r>
  <r>
    <n v="18"/>
    <s v="Female"/>
    <n v="82.9"/>
    <n v="1.54"/>
    <n v="174"/>
    <n v="169"/>
    <n v="64"/>
    <n v="0.77"/>
    <n v="802"/>
    <x v="2"/>
    <n v="27.8"/>
    <n v="2.2000000000000002"/>
    <n v="3"/>
    <n v="1"/>
    <n v="49.84"/>
    <n v="-356"/>
    <d v="1899-12-30T02:45:19"/>
  </r>
  <r>
    <n v="34"/>
    <s v="Female"/>
    <n v="65.900000000000006"/>
    <n v="1.74"/>
    <n v="195"/>
    <n v="169"/>
    <n v="73"/>
    <n v="2"/>
    <n v="1231"/>
    <x v="3"/>
    <n v="30.5"/>
    <n v="3.2"/>
    <n v="5"/>
    <n v="2"/>
    <n v="12.32"/>
    <n v="-556"/>
    <d v="1899-12-30T09:25:16"/>
  </r>
  <r>
    <n v="39"/>
    <s v="Female"/>
    <n v="47"/>
    <n v="1.78"/>
    <n v="181"/>
    <n v="155"/>
    <n v="55"/>
    <n v="1.89"/>
    <n v="747"/>
    <x v="3"/>
    <n v="31.7"/>
    <n v="2.2999999999999998"/>
    <n v="3"/>
    <n v="3"/>
    <n v="28.39"/>
    <n v="-356"/>
    <d v="1899-12-30T08:47:16"/>
  </r>
  <r>
    <n v="46"/>
    <s v="Male"/>
    <n v="40"/>
    <n v="1.88"/>
    <n v="168"/>
    <n v="131"/>
    <n v="69"/>
    <n v="2"/>
    <n v="672"/>
    <x v="3"/>
    <n v="25.4"/>
    <n v="2.4"/>
    <n v="2"/>
    <n v="2"/>
    <n v="12.32"/>
    <n v="-256"/>
    <d v="1899-12-30T02:45:19"/>
  </r>
  <r>
    <n v="19"/>
    <s v="Male"/>
    <n v="87.7"/>
    <n v="1.98"/>
    <n v="186"/>
    <n v="145"/>
    <n v="50"/>
    <n v="1.61"/>
    <n v="1705"/>
    <x v="0"/>
    <n v="1"/>
    <n v="2.2999999999999998"/>
    <n v="3"/>
    <n v="2"/>
    <n v="15.99"/>
    <n v="356"/>
    <d v="1899-12-30T08:11:22"/>
  </r>
  <r>
    <n v="56"/>
    <s v="Female"/>
    <n v="107.4"/>
    <n v="1.73"/>
    <n v="176"/>
    <n v="141"/>
    <n v="71"/>
    <n v="0.65"/>
    <n v="1564"/>
    <x v="2"/>
    <n v="26"/>
    <n v="3"/>
    <n v="2"/>
    <n v="3"/>
    <n v="14.48"/>
    <n v="214"/>
    <d v="1899-12-30T03:33:33"/>
  </r>
  <r>
    <n v="19"/>
    <s v="Female"/>
    <n v="71.7"/>
    <n v="1.91"/>
    <n v="197"/>
    <n v="148"/>
    <n v="74"/>
    <n v="1.1499999999999999"/>
    <n v="464"/>
    <x v="1"/>
    <n v="32.5"/>
    <n v="2.7"/>
    <n v="4"/>
    <n v="2"/>
    <n v="19.09"/>
    <n v="56"/>
    <d v="1899-12-30T03:35:45"/>
  </r>
  <r>
    <n v="30"/>
    <s v="Female"/>
    <n v="90.6"/>
    <n v="1.6"/>
    <n v="161"/>
    <n v="125"/>
    <n v="52"/>
    <n v="1.03"/>
    <n v="1410"/>
    <x v="3"/>
    <n v="16"/>
    <n v="3.5"/>
    <n v="4"/>
    <n v="2"/>
    <n v="13.91"/>
    <n v="456"/>
    <d v="1899-12-30T02:45:11"/>
  </r>
  <r>
    <n v="23"/>
    <s v="Male"/>
    <n v="56.2"/>
    <n v="1.76"/>
    <n v="195"/>
    <n v="141"/>
    <n v="55"/>
    <n v="1.45"/>
    <n v="1195"/>
    <x v="2"/>
    <n v="23.9"/>
    <n v="3.2"/>
    <n v="4"/>
    <n v="1"/>
    <n v="22.61"/>
    <n v="-456"/>
    <d v="1899-12-30T02:46:19"/>
  </r>
  <r>
    <n v="39"/>
    <s v="Female"/>
    <n v="71.3"/>
    <n v="1.77"/>
    <n v="171"/>
    <n v="124"/>
    <n v="74"/>
    <n v="0.69"/>
    <n v="871"/>
    <x v="1"/>
    <n v="21.9"/>
    <n v="2.1"/>
    <n v="5"/>
    <n v="1"/>
    <n v="14.31"/>
    <n v="-556"/>
    <d v="1899-12-30T02:13: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0CA834-4D4A-4B4D-BAD9-9C227C9C3C8A}" name="PivotTable17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7" firstHeaderRow="1" firstDataRow="1" firstDataCol="1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4"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Workout_Type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CE7CB4-BC9E-49D5-91E4-AE781CAFAC6A}" name="Table511" displayName="Table511" ref="H44:I51" totalsRowShown="0">
  <autoFilter ref="H44:I51" xr:uid="{6FCE7CB4-BC9E-49D5-91E4-AE781CAFAC6A}"/>
  <tableColumns count="2">
    <tableColumn id="1" xr3:uid="{282D030A-72AA-45D2-8E67-1408D0761414}" name="customer"/>
    <tableColumn id="2" xr3:uid="{BFE38F3E-A309-4FE6-832E-7E25F48BD957}" name="pament_du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0A1732-B713-4901-B634-99A6D13B68B9}" name="Table1712" displayName="Table1712" ref="K46:L53" totalsRowShown="0">
  <autoFilter ref="K46:L53" xr:uid="{710A1732-B713-4901-B634-99A6D13B68B9}"/>
  <tableColumns count="2">
    <tableColumn id="1" xr3:uid="{6674343A-1D90-4B85-88B4-DE44B0E8C0B5}" name="customer"/>
    <tableColumn id="2" xr3:uid="{975B7C7B-D139-4189-B8CB-82A29E771213}" name="pament_du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8AAFFE-FB0A-4C2C-B427-A8461E8E4640}" name="Table2813" displayName="Table2813" ref="N47:O54" totalsRowShown="0">
  <autoFilter ref="N47:O54" xr:uid="{588AAFFE-FB0A-4C2C-B427-A8461E8E4640}"/>
  <tableColumns count="2">
    <tableColumn id="1" xr3:uid="{84A6D6B7-145D-46F6-8BF1-07B57AF566A9}" name="customer"/>
    <tableColumn id="2" xr3:uid="{5F3A6277-087E-4980-9324-F04A360D809E}" name="pament_du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9EB0EF6-85BB-4C8D-81AB-161336B4AC61}" name="Table3914" displayName="Table3914" ref="Q47:R54" totalsRowShown="0">
  <autoFilter ref="Q47:R54" xr:uid="{B9EB0EF6-85BB-4C8D-81AB-161336B4AC61}"/>
  <tableColumns count="2">
    <tableColumn id="1" xr3:uid="{F03861C0-9B26-4A6C-A6C0-E1321928BEBB}" name="customer"/>
    <tableColumn id="2" xr3:uid="{8FF3B057-8192-4455-BEC1-9BC77B3B0EF3}" name="pament_due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CF219F9-274E-4FE3-9C46-77FA37A4C64F}" name="Table41015" displayName="Table41015" ref="T47:U54" totalsRowShown="0">
  <autoFilter ref="T47:U54" xr:uid="{8CF219F9-274E-4FE3-9C46-77FA37A4C64F}"/>
  <tableColumns count="2">
    <tableColumn id="1" xr3:uid="{1AC0F9D7-A886-4D9D-B42A-A46E70595F42}" name="customer"/>
    <tableColumn id="2" xr3:uid="{61385A06-F92B-4C0A-973D-1D72DA09A285}" name="pament_d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F28F7C-E034-412B-B3B0-BFA762F1A177}" name="Table15" displayName="Table15" ref="Z50:Z55" totalsRowShown="0">
  <autoFilter ref="Z50:Z55" xr:uid="{DDF28F7C-E034-412B-B3B0-BFA762F1A177}"/>
  <tableColumns count="1">
    <tableColumn id="1" xr3:uid="{47C69C9A-A609-4118-AF34-C679E21BFD45}" name="Column1" dataDxfId="0">
      <calculatedColumnFormula array="1">range(10-20)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9CDE-FCEE-4E8D-BC12-9204FDFE636C}">
  <dimension ref="A3:B7"/>
  <sheetViews>
    <sheetView workbookViewId="0">
      <selection activeCell="N9" sqref="N9"/>
    </sheetView>
  </sheetViews>
  <sheetFormatPr defaultRowHeight="15" x14ac:dyDescent="0.25"/>
  <cols>
    <col min="1" max="1" width="16.5703125" bestFit="1" customWidth="1"/>
    <col min="2" max="2" width="22.5703125" bestFit="1" customWidth="1"/>
  </cols>
  <sheetData>
    <row r="3" spans="1:2" x14ac:dyDescent="0.25">
      <c r="A3" s="10" t="s">
        <v>9</v>
      </c>
      <c r="B3" t="s">
        <v>34</v>
      </c>
    </row>
    <row r="4" spans="1:2" x14ac:dyDescent="0.25">
      <c r="A4" t="s">
        <v>20</v>
      </c>
      <c r="B4" s="11">
        <v>5</v>
      </c>
    </row>
    <row r="5" spans="1:2" x14ac:dyDescent="0.25">
      <c r="A5" t="s">
        <v>21</v>
      </c>
      <c r="B5" s="11">
        <v>4</v>
      </c>
    </row>
    <row r="6" spans="1:2" x14ac:dyDescent="0.25">
      <c r="A6" t="s">
        <v>18</v>
      </c>
      <c r="B6" s="11">
        <v>5</v>
      </c>
    </row>
    <row r="7" spans="1:2" x14ac:dyDescent="0.25">
      <c r="A7" t="s">
        <v>22</v>
      </c>
      <c r="B7" s="11">
        <v>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50C6-5C3D-47D7-8F1C-1AE880D2EA0B}">
  <dimension ref="A1:AA57"/>
  <sheetViews>
    <sheetView tabSelected="1" topLeftCell="H1" zoomScale="85" zoomScaleNormal="85" workbookViewId="0">
      <selection activeCell="Y47" sqref="Y47"/>
    </sheetView>
  </sheetViews>
  <sheetFormatPr defaultRowHeight="15" x14ac:dyDescent="0.25"/>
  <cols>
    <col min="8" max="8" width="11.42578125" customWidth="1"/>
    <col min="9" max="9" width="13.7109375" customWidth="1"/>
    <col min="11" max="11" width="11.42578125" customWidth="1"/>
    <col min="12" max="12" width="14.42578125" customWidth="1"/>
    <col min="14" max="14" width="11.42578125" customWidth="1"/>
    <col min="15" max="15" width="14.42578125" customWidth="1"/>
    <col min="16" max="16" width="9.7109375" style="4" bestFit="1" customWidth="1"/>
    <col min="17" max="17" width="11.42578125" customWidth="1"/>
    <col min="18" max="18" width="14.42578125" customWidth="1"/>
    <col min="26" max="26" width="10.42578125" customWidth="1"/>
  </cols>
  <sheetData>
    <row r="1" spans="1:17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2" t="s">
        <v>16</v>
      </c>
    </row>
    <row r="2" spans="1:17" ht="15.75" thickBot="1" x14ac:dyDescent="0.3">
      <c r="A2" s="2">
        <v>34</v>
      </c>
      <c r="B2" s="2" t="s">
        <v>17</v>
      </c>
      <c r="C2" s="2">
        <v>86.7</v>
      </c>
      <c r="D2" s="2">
        <v>1.86</v>
      </c>
      <c r="E2" s="2">
        <v>174</v>
      </c>
      <c r="F2" s="2">
        <v>152</v>
      </c>
      <c r="G2" s="2">
        <v>74</v>
      </c>
      <c r="H2" s="2">
        <v>1.1200000000000001</v>
      </c>
      <c r="I2" s="2">
        <v>712</v>
      </c>
      <c r="J2" s="2" t="s">
        <v>18</v>
      </c>
      <c r="K2" s="2">
        <v>12.8</v>
      </c>
      <c r="L2" s="2">
        <v>2.4</v>
      </c>
      <c r="M2" s="2">
        <v>5</v>
      </c>
      <c r="N2" s="2">
        <v>2</v>
      </c>
      <c r="O2" s="2">
        <v>14.31</v>
      </c>
      <c r="P2" s="5">
        <v>-1111</v>
      </c>
      <c r="Q2" s="3">
        <f>TIME(3,30,45)</f>
        <v>0.14635416666666667</v>
      </c>
    </row>
    <row r="3" spans="1:17" ht="15.75" thickBot="1" x14ac:dyDescent="0.3">
      <c r="A3" s="2">
        <v>26</v>
      </c>
      <c r="B3" s="2" t="s">
        <v>17</v>
      </c>
      <c r="C3" s="2">
        <v>84.7</v>
      </c>
      <c r="D3" s="2">
        <v>1.83</v>
      </c>
      <c r="E3" s="2">
        <v>166</v>
      </c>
      <c r="F3" s="2">
        <v>156</v>
      </c>
      <c r="G3" s="2">
        <v>73</v>
      </c>
      <c r="H3" s="2">
        <v>1</v>
      </c>
      <c r="I3" s="2">
        <v>833</v>
      </c>
      <c r="J3" s="2" t="s">
        <v>18</v>
      </c>
      <c r="K3" s="2">
        <v>27.9</v>
      </c>
      <c r="L3" s="2">
        <v>2.8</v>
      </c>
      <c r="M3" s="2">
        <v>5</v>
      </c>
      <c r="N3" s="2">
        <v>2</v>
      </c>
      <c r="O3" s="2">
        <v>33.49</v>
      </c>
      <c r="P3" s="5">
        <v>1456</v>
      </c>
      <c r="Q3" s="3">
        <v>0.50299768518518517</v>
      </c>
    </row>
    <row r="4" spans="1:17" ht="15.75" thickBot="1" x14ac:dyDescent="0.3">
      <c r="A4" s="2">
        <v>22</v>
      </c>
      <c r="B4" s="2" t="s">
        <v>19</v>
      </c>
      <c r="C4" s="2">
        <v>64.8</v>
      </c>
      <c r="D4" s="2">
        <v>1.85</v>
      </c>
      <c r="E4" s="2">
        <v>187</v>
      </c>
      <c r="F4" s="2">
        <v>166</v>
      </c>
      <c r="G4" s="2">
        <v>64</v>
      </c>
      <c r="H4" s="2">
        <v>1.24</v>
      </c>
      <c r="I4" s="2">
        <v>1678</v>
      </c>
      <c r="J4" s="2" t="s">
        <v>20</v>
      </c>
      <c r="K4" s="2">
        <v>28.7</v>
      </c>
      <c r="L4" s="2">
        <v>1.9</v>
      </c>
      <c r="M4" s="2">
        <v>3</v>
      </c>
      <c r="N4" s="2">
        <v>2</v>
      </c>
      <c r="O4" s="2">
        <v>12.73</v>
      </c>
      <c r="P4" s="5">
        <v>2567</v>
      </c>
      <c r="Q4" s="3">
        <v>0.65643518518518518</v>
      </c>
    </row>
    <row r="5" spans="1:17" ht="15.75" thickBot="1" x14ac:dyDescent="0.3">
      <c r="A5" s="2">
        <v>54</v>
      </c>
      <c r="B5" s="2" t="s">
        <v>17</v>
      </c>
      <c r="C5" s="2">
        <v>75.3</v>
      </c>
      <c r="D5" s="2">
        <v>1.82</v>
      </c>
      <c r="E5" s="2">
        <v>187</v>
      </c>
      <c r="F5" s="2">
        <v>169</v>
      </c>
      <c r="G5" s="2">
        <v>58</v>
      </c>
      <c r="H5" s="2">
        <v>1.45</v>
      </c>
      <c r="I5" s="2">
        <v>628</v>
      </c>
      <c r="J5" s="2" t="s">
        <v>20</v>
      </c>
      <c r="K5" s="2">
        <v>31.8</v>
      </c>
      <c r="L5" s="2">
        <v>2.4</v>
      </c>
      <c r="M5" s="2">
        <v>4</v>
      </c>
      <c r="N5" s="2">
        <v>1</v>
      </c>
      <c r="O5" s="2">
        <v>20.37</v>
      </c>
      <c r="P5" s="5">
        <v>-100</v>
      </c>
      <c r="Q5" s="3">
        <v>8.6817129629629633E-2</v>
      </c>
    </row>
    <row r="6" spans="1:17" ht="15.75" thickBot="1" x14ac:dyDescent="0.3">
      <c r="A6" s="2">
        <v>34</v>
      </c>
      <c r="B6" s="2" t="s">
        <v>17</v>
      </c>
      <c r="C6" s="2">
        <v>52.8</v>
      </c>
      <c r="D6" s="2">
        <v>1.74</v>
      </c>
      <c r="E6" s="2">
        <v>177</v>
      </c>
      <c r="F6" s="2">
        <v>169</v>
      </c>
      <c r="G6" s="2">
        <v>66</v>
      </c>
      <c r="H6" s="2">
        <v>1.6</v>
      </c>
      <c r="I6" s="2">
        <v>1286</v>
      </c>
      <c r="J6" s="2" t="s">
        <v>18</v>
      </c>
      <c r="K6" s="2">
        <v>26.4</v>
      </c>
      <c r="L6" s="2">
        <v>3.2</v>
      </c>
      <c r="M6" s="2">
        <v>4</v>
      </c>
      <c r="N6" s="2">
        <v>2</v>
      </c>
      <c r="O6" s="2">
        <v>20.83</v>
      </c>
      <c r="P6" s="5">
        <v>-456</v>
      </c>
      <c r="Q6" s="3">
        <v>9.2581018518518521E-2</v>
      </c>
    </row>
    <row r="7" spans="1:17" ht="15.75" thickBot="1" x14ac:dyDescent="0.3">
      <c r="A7" s="2">
        <v>38</v>
      </c>
      <c r="B7" s="2" t="s">
        <v>17</v>
      </c>
      <c r="C7" s="2">
        <v>53</v>
      </c>
      <c r="D7" s="2">
        <v>1.58</v>
      </c>
      <c r="E7" s="2">
        <v>161</v>
      </c>
      <c r="F7" s="2">
        <v>128</v>
      </c>
      <c r="G7" s="2">
        <v>74</v>
      </c>
      <c r="H7" s="2">
        <v>1.62</v>
      </c>
      <c r="I7" s="2">
        <v>953</v>
      </c>
      <c r="J7" s="2" t="s">
        <v>21</v>
      </c>
      <c r="K7" s="2">
        <v>23.4</v>
      </c>
      <c r="L7" s="2">
        <v>2.5</v>
      </c>
      <c r="M7" s="2">
        <v>2</v>
      </c>
      <c r="N7" s="2">
        <v>2</v>
      </c>
      <c r="O7" s="2">
        <v>13.02</v>
      </c>
      <c r="P7" s="5">
        <v>-256</v>
      </c>
      <c r="Q7" s="3">
        <v>8.7025462962962957E-2</v>
      </c>
    </row>
    <row r="8" spans="1:17" ht="15.75" thickBot="1" x14ac:dyDescent="0.3">
      <c r="A8" s="2">
        <v>44</v>
      </c>
      <c r="B8" s="2" t="s">
        <v>17</v>
      </c>
      <c r="C8" s="2">
        <v>46.5</v>
      </c>
      <c r="D8" s="2">
        <v>1.81</v>
      </c>
      <c r="E8" s="2">
        <v>191</v>
      </c>
      <c r="F8" s="2">
        <v>142</v>
      </c>
      <c r="G8" s="2">
        <v>74</v>
      </c>
      <c r="H8" s="2">
        <v>1.46</v>
      </c>
      <c r="I8" s="2">
        <v>1238</v>
      </c>
      <c r="J8" s="2" t="s">
        <v>20</v>
      </c>
      <c r="K8" s="2">
        <v>11.9</v>
      </c>
      <c r="L8" s="2">
        <v>3.7</v>
      </c>
      <c r="M8" s="2">
        <v>2</v>
      </c>
      <c r="N8" s="2">
        <v>2</v>
      </c>
      <c r="O8" s="2">
        <v>18.12</v>
      </c>
      <c r="P8" s="5">
        <v>-256</v>
      </c>
      <c r="Q8" s="3">
        <v>0.11480324074074075</v>
      </c>
    </row>
    <row r="9" spans="1:17" ht="15.75" thickBot="1" x14ac:dyDescent="0.3">
      <c r="A9" s="2">
        <v>50</v>
      </c>
      <c r="B9" s="2" t="s">
        <v>17</v>
      </c>
      <c r="C9" s="2">
        <v>88.5</v>
      </c>
      <c r="D9" s="2">
        <v>1.63</v>
      </c>
      <c r="E9" s="2">
        <v>181</v>
      </c>
      <c r="F9" s="2">
        <v>136</v>
      </c>
      <c r="G9" s="2">
        <v>63</v>
      </c>
      <c r="H9" s="2">
        <v>1.63</v>
      </c>
      <c r="I9" s="2">
        <v>829</v>
      </c>
      <c r="J9" s="2" t="s">
        <v>18</v>
      </c>
      <c r="K9" s="2">
        <v>11.6</v>
      </c>
      <c r="L9" s="2">
        <v>1.8</v>
      </c>
      <c r="M9" s="2">
        <v>4</v>
      </c>
      <c r="N9" s="2">
        <v>2</v>
      </c>
      <c r="O9" s="2">
        <v>19.16</v>
      </c>
      <c r="P9" s="5">
        <v>-456</v>
      </c>
      <c r="Q9" s="3">
        <v>0.25369212962962961</v>
      </c>
    </row>
    <row r="10" spans="1:17" ht="15.75" thickBot="1" x14ac:dyDescent="0.3">
      <c r="A10" s="2">
        <v>18</v>
      </c>
      <c r="B10" s="2" t="s">
        <v>17</v>
      </c>
      <c r="C10" s="2">
        <v>82.9</v>
      </c>
      <c r="D10" s="2">
        <v>1.54</v>
      </c>
      <c r="E10" s="2">
        <v>174</v>
      </c>
      <c r="F10" s="2">
        <v>169</v>
      </c>
      <c r="G10" s="2">
        <v>64</v>
      </c>
      <c r="H10" s="2">
        <v>0.77</v>
      </c>
      <c r="I10" s="2">
        <v>802</v>
      </c>
      <c r="J10" s="2" t="s">
        <v>21</v>
      </c>
      <c r="K10" s="2">
        <v>27.8</v>
      </c>
      <c r="L10" s="2">
        <v>2.2000000000000002</v>
      </c>
      <c r="M10" s="2">
        <v>3</v>
      </c>
      <c r="N10" s="2">
        <v>1</v>
      </c>
      <c r="O10" s="2">
        <v>49.84</v>
      </c>
      <c r="P10" s="5">
        <v>-356</v>
      </c>
      <c r="Q10" s="3">
        <v>0.11480324074074075</v>
      </c>
    </row>
    <row r="11" spans="1:17" ht="15.75" thickBot="1" x14ac:dyDescent="0.3">
      <c r="A11" s="2">
        <v>34</v>
      </c>
      <c r="B11" s="2" t="s">
        <v>17</v>
      </c>
      <c r="C11" s="2">
        <v>65.900000000000006</v>
      </c>
      <c r="D11" s="2">
        <v>1.74</v>
      </c>
      <c r="E11" s="2">
        <v>195</v>
      </c>
      <c r="F11" s="2">
        <v>169</v>
      </c>
      <c r="G11" s="2">
        <v>73</v>
      </c>
      <c r="H11" s="2">
        <v>2</v>
      </c>
      <c r="I11" s="2">
        <v>1231</v>
      </c>
      <c r="J11" s="2" t="s">
        <v>22</v>
      </c>
      <c r="K11" s="2">
        <v>30.5</v>
      </c>
      <c r="L11" s="2">
        <v>3.2</v>
      </c>
      <c r="M11" s="2">
        <v>5</v>
      </c>
      <c r="N11" s="2">
        <v>2</v>
      </c>
      <c r="O11" s="2">
        <v>12.32</v>
      </c>
      <c r="P11" s="5">
        <v>-556</v>
      </c>
      <c r="Q11" s="3">
        <v>0.39254629629629628</v>
      </c>
    </row>
    <row r="12" spans="1:17" ht="15.75" thickBot="1" x14ac:dyDescent="0.3">
      <c r="A12" s="2">
        <v>39</v>
      </c>
      <c r="B12" s="2" t="s">
        <v>17</v>
      </c>
      <c r="C12" s="2">
        <v>47</v>
      </c>
      <c r="D12" s="2">
        <v>1.78</v>
      </c>
      <c r="E12" s="2">
        <v>181</v>
      </c>
      <c r="F12" s="2">
        <v>155</v>
      </c>
      <c r="G12" s="2">
        <v>55</v>
      </c>
      <c r="H12" s="2">
        <v>1.89</v>
      </c>
      <c r="I12" s="2">
        <v>747</v>
      </c>
      <c r="J12" s="2" t="s">
        <v>22</v>
      </c>
      <c r="K12" s="2">
        <v>31.7</v>
      </c>
      <c r="L12" s="2">
        <v>2.2999999999999998</v>
      </c>
      <c r="M12" s="2">
        <v>3</v>
      </c>
      <c r="N12" s="2">
        <v>3</v>
      </c>
      <c r="O12" s="2">
        <v>28.39</v>
      </c>
      <c r="P12" s="5">
        <v>-356</v>
      </c>
      <c r="Q12" s="3">
        <v>0.36615740740740743</v>
      </c>
    </row>
    <row r="13" spans="1:17" ht="15.75" thickBot="1" x14ac:dyDescent="0.3">
      <c r="A13" s="2">
        <v>46</v>
      </c>
      <c r="B13" s="2" t="s">
        <v>19</v>
      </c>
      <c r="C13" s="2">
        <v>40</v>
      </c>
      <c r="D13" s="2">
        <v>1.88</v>
      </c>
      <c r="E13" s="2">
        <v>168</v>
      </c>
      <c r="F13" s="2">
        <v>131</v>
      </c>
      <c r="G13" s="2">
        <v>69</v>
      </c>
      <c r="H13" s="2">
        <v>2</v>
      </c>
      <c r="I13" s="2">
        <v>672</v>
      </c>
      <c r="J13" s="2" t="s">
        <v>22</v>
      </c>
      <c r="K13" s="2">
        <v>25.4</v>
      </c>
      <c r="L13" s="2">
        <v>2.4</v>
      </c>
      <c r="M13" s="2">
        <v>2</v>
      </c>
      <c r="N13" s="2">
        <v>2</v>
      </c>
      <c r="O13" s="2">
        <v>12.32</v>
      </c>
      <c r="P13" s="5">
        <v>-256</v>
      </c>
      <c r="Q13" s="3">
        <v>0.11480324074074075</v>
      </c>
    </row>
    <row r="14" spans="1:17" ht="15.75" thickBot="1" x14ac:dyDescent="0.3">
      <c r="A14" s="2">
        <v>19</v>
      </c>
      <c r="B14" s="2" t="s">
        <v>19</v>
      </c>
      <c r="C14" s="2">
        <v>87.7</v>
      </c>
      <c r="D14" s="2">
        <v>1.98</v>
      </c>
      <c r="E14" s="2">
        <v>186</v>
      </c>
      <c r="F14" s="2">
        <v>145</v>
      </c>
      <c r="G14" s="2">
        <v>50</v>
      </c>
      <c r="H14" s="2">
        <v>1.61</v>
      </c>
      <c r="I14" s="2">
        <v>1705</v>
      </c>
      <c r="J14" s="2" t="s">
        <v>18</v>
      </c>
      <c r="K14" s="2">
        <v>1</v>
      </c>
      <c r="L14" s="2">
        <v>2.2999999999999998</v>
      </c>
      <c r="M14" s="2">
        <v>3</v>
      </c>
      <c r="N14" s="2">
        <v>2</v>
      </c>
      <c r="O14" s="2">
        <v>15.99</v>
      </c>
      <c r="P14" s="5">
        <v>356</v>
      </c>
      <c r="Q14" s="3">
        <v>0.34122685185185186</v>
      </c>
    </row>
    <row r="15" spans="1:17" ht="15.75" thickBot="1" x14ac:dyDescent="0.3">
      <c r="A15" s="2">
        <v>56</v>
      </c>
      <c r="B15" s="2" t="s">
        <v>17</v>
      </c>
      <c r="C15" s="2">
        <v>107.4</v>
      </c>
      <c r="D15" s="2">
        <v>1.73</v>
      </c>
      <c r="E15" s="2">
        <v>176</v>
      </c>
      <c r="F15" s="2">
        <v>141</v>
      </c>
      <c r="G15" s="2">
        <v>71</v>
      </c>
      <c r="H15" s="2">
        <v>0.65</v>
      </c>
      <c r="I15" s="2">
        <v>1564</v>
      </c>
      <c r="J15" s="2" t="s">
        <v>21</v>
      </c>
      <c r="K15" s="2">
        <v>26</v>
      </c>
      <c r="L15" s="2">
        <v>3</v>
      </c>
      <c r="M15" s="2">
        <v>2</v>
      </c>
      <c r="N15" s="2">
        <v>3</v>
      </c>
      <c r="O15" s="2">
        <v>14.48</v>
      </c>
      <c r="P15" s="5">
        <v>214</v>
      </c>
      <c r="Q15" s="3">
        <v>0.14829861111111112</v>
      </c>
    </row>
    <row r="16" spans="1:17" ht="15.75" thickBot="1" x14ac:dyDescent="0.3">
      <c r="A16" s="2">
        <v>19</v>
      </c>
      <c r="B16" s="2" t="s">
        <v>17</v>
      </c>
      <c r="C16" s="2">
        <v>71.7</v>
      </c>
      <c r="D16" s="2">
        <v>1.91</v>
      </c>
      <c r="E16" s="2">
        <v>197</v>
      </c>
      <c r="F16" s="2">
        <v>148</v>
      </c>
      <c r="G16" s="2">
        <v>74</v>
      </c>
      <c r="H16" s="2">
        <v>1.1499999999999999</v>
      </c>
      <c r="I16" s="2">
        <v>464</v>
      </c>
      <c r="J16" s="2" t="s">
        <v>20</v>
      </c>
      <c r="K16" s="2">
        <v>32.5</v>
      </c>
      <c r="L16" s="2">
        <v>2.7</v>
      </c>
      <c r="M16" s="2">
        <v>4</v>
      </c>
      <c r="N16" s="2">
        <v>2</v>
      </c>
      <c r="O16" s="2">
        <v>19.09</v>
      </c>
      <c r="P16" s="5">
        <v>56</v>
      </c>
      <c r="Q16" s="3">
        <v>0.14982638888888888</v>
      </c>
    </row>
    <row r="17" spans="1:17" ht="15.75" thickBot="1" x14ac:dyDescent="0.3">
      <c r="A17" s="2">
        <v>30</v>
      </c>
      <c r="B17" s="2" t="s">
        <v>17</v>
      </c>
      <c r="C17" s="2">
        <v>90.6</v>
      </c>
      <c r="D17" s="2">
        <v>1.6</v>
      </c>
      <c r="E17" s="2">
        <v>161</v>
      </c>
      <c r="F17" s="2">
        <v>125</v>
      </c>
      <c r="G17" s="2">
        <v>52</v>
      </c>
      <c r="H17" s="2">
        <v>1.03</v>
      </c>
      <c r="I17" s="2">
        <v>1410</v>
      </c>
      <c r="J17" s="2" t="s">
        <v>22</v>
      </c>
      <c r="K17" s="2">
        <v>16</v>
      </c>
      <c r="L17" s="2">
        <v>3.5</v>
      </c>
      <c r="M17" s="2">
        <v>4</v>
      </c>
      <c r="N17" s="2">
        <v>2</v>
      </c>
      <c r="O17" s="2">
        <v>13.91</v>
      </c>
      <c r="P17" s="5">
        <v>456</v>
      </c>
      <c r="Q17" s="3">
        <v>0.11471064814814814</v>
      </c>
    </row>
    <row r="18" spans="1:17" ht="15.75" thickBot="1" x14ac:dyDescent="0.3">
      <c r="A18" s="2">
        <v>23</v>
      </c>
      <c r="B18" s="2" t="s">
        <v>19</v>
      </c>
      <c r="C18" s="2">
        <v>56.2</v>
      </c>
      <c r="D18" s="2">
        <v>1.76</v>
      </c>
      <c r="E18" s="2">
        <v>195</v>
      </c>
      <c r="F18" s="2">
        <v>141</v>
      </c>
      <c r="G18" s="2">
        <v>55</v>
      </c>
      <c r="H18" s="2">
        <v>1.45</v>
      </c>
      <c r="I18" s="2">
        <v>1195</v>
      </c>
      <c r="J18" s="2" t="s">
        <v>21</v>
      </c>
      <c r="K18" s="2">
        <v>23.9</v>
      </c>
      <c r="L18" s="2">
        <v>3.2</v>
      </c>
      <c r="M18" s="2">
        <v>4</v>
      </c>
      <c r="N18" s="2">
        <v>1</v>
      </c>
      <c r="O18" s="2">
        <v>22.61</v>
      </c>
      <c r="P18" s="5">
        <v>-456</v>
      </c>
      <c r="Q18" s="3">
        <v>0.11549768518518519</v>
      </c>
    </row>
    <row r="19" spans="1:17" ht="15.75" thickBot="1" x14ac:dyDescent="0.3">
      <c r="A19" s="2">
        <v>39</v>
      </c>
      <c r="B19" s="2" t="s">
        <v>17</v>
      </c>
      <c r="C19" s="2">
        <v>71.3</v>
      </c>
      <c r="D19" s="2">
        <v>1.77</v>
      </c>
      <c r="E19" s="2">
        <v>171</v>
      </c>
      <c r="F19" s="2">
        <v>124</v>
      </c>
      <c r="G19" s="2">
        <v>74</v>
      </c>
      <c r="H19" s="2">
        <v>0.69</v>
      </c>
      <c r="I19" s="2">
        <v>871</v>
      </c>
      <c r="J19" s="2" t="s">
        <v>20</v>
      </c>
      <c r="K19" s="2">
        <v>21.9</v>
      </c>
      <c r="L19" s="2">
        <v>2.1</v>
      </c>
      <c r="M19" s="2">
        <v>5</v>
      </c>
      <c r="N19" s="2">
        <v>1</v>
      </c>
      <c r="O19" s="2">
        <v>14.31</v>
      </c>
      <c r="P19" s="5">
        <v>-556</v>
      </c>
      <c r="Q19" s="3">
        <v>9.2372685185185183E-2</v>
      </c>
    </row>
    <row r="43" spans="8:24" x14ac:dyDescent="0.25">
      <c r="H43" s="8" t="s">
        <v>33</v>
      </c>
      <c r="I43" s="8"/>
    </row>
    <row r="44" spans="8:24" x14ac:dyDescent="0.25">
      <c r="H44" t="s">
        <v>26</v>
      </c>
      <c r="I44" t="s">
        <v>27</v>
      </c>
    </row>
    <row r="45" spans="8:24" x14ac:dyDescent="0.25">
      <c r="H45">
        <v>1</v>
      </c>
      <c r="I45">
        <v>0</v>
      </c>
      <c r="K45" s="6" t="s">
        <v>23</v>
      </c>
      <c r="L45" s="6"/>
    </row>
    <row r="46" spans="8:24" x14ac:dyDescent="0.25">
      <c r="H46">
        <v>124</v>
      </c>
      <c r="K46" t="s">
        <v>26</v>
      </c>
      <c r="L46" t="s">
        <v>27</v>
      </c>
      <c r="N46" s="6" t="s">
        <v>24</v>
      </c>
      <c r="O46" s="6"/>
      <c r="Q46" s="7" t="s">
        <v>25</v>
      </c>
      <c r="R46" s="7"/>
      <c r="T46" s="9" t="s">
        <v>28</v>
      </c>
      <c r="U46" s="9"/>
    </row>
    <row r="47" spans="8:24" x14ac:dyDescent="0.25">
      <c r="H47">
        <v>125</v>
      </c>
      <c r="K47">
        <v>1</v>
      </c>
      <c r="N47" t="s">
        <v>26</v>
      </c>
      <c r="O47" t="s">
        <v>27</v>
      </c>
      <c r="Q47" t="s">
        <v>26</v>
      </c>
      <c r="R47" t="s">
        <v>27</v>
      </c>
      <c r="T47" t="s">
        <v>26</v>
      </c>
      <c r="U47" t="s">
        <v>27</v>
      </c>
    </row>
    <row r="48" spans="8:24" x14ac:dyDescent="0.25">
      <c r="H48">
        <v>126</v>
      </c>
      <c r="K48">
        <v>124</v>
      </c>
      <c r="L48" t="s">
        <v>29</v>
      </c>
      <c r="N48">
        <v>1</v>
      </c>
      <c r="Q48">
        <v>1</v>
      </c>
      <c r="T48">
        <v>1</v>
      </c>
      <c r="X48" s="13"/>
    </row>
    <row r="49" spans="8:27" x14ac:dyDescent="0.25">
      <c r="H49">
        <v>2</v>
      </c>
      <c r="K49">
        <v>125</v>
      </c>
      <c r="L49" t="s">
        <v>30</v>
      </c>
      <c r="N49">
        <v>124</v>
      </c>
      <c r="O49">
        <v>456</v>
      </c>
      <c r="Q49">
        <v>124</v>
      </c>
      <c r="T49">
        <v>124</v>
      </c>
      <c r="U49">
        <v>456</v>
      </c>
    </row>
    <row r="50" spans="8:27" x14ac:dyDescent="0.25">
      <c r="H50">
        <v>3</v>
      </c>
      <c r="I50">
        <v>0</v>
      </c>
      <c r="K50">
        <v>126</v>
      </c>
      <c r="L50" t="s">
        <v>31</v>
      </c>
      <c r="N50">
        <v>125</v>
      </c>
      <c r="Q50">
        <v>125</v>
      </c>
      <c r="R50">
        <v>-457</v>
      </c>
      <c r="T50">
        <v>125</v>
      </c>
      <c r="U50">
        <v>-457</v>
      </c>
      <c r="X50" s="13"/>
      <c r="Z50" t="s">
        <v>35</v>
      </c>
      <c r="AA50" s="11"/>
    </row>
    <row r="51" spans="8:27" x14ac:dyDescent="0.25">
      <c r="H51">
        <v>4</v>
      </c>
      <c r="I51">
        <v>0</v>
      </c>
      <c r="K51">
        <v>2</v>
      </c>
      <c r="L51" t="s">
        <v>32</v>
      </c>
      <c r="N51">
        <v>126</v>
      </c>
      <c r="Q51">
        <v>126</v>
      </c>
      <c r="R51" s="1">
        <v>-7895</v>
      </c>
      <c r="T51">
        <v>126</v>
      </c>
      <c r="U51" s="1">
        <v>-7895</v>
      </c>
      <c r="Z51" s="13" t="s">
        <v>39</v>
      </c>
    </row>
    <row r="52" spans="8:27" x14ac:dyDescent="0.25">
      <c r="K52">
        <v>3</v>
      </c>
      <c r="N52">
        <v>2</v>
      </c>
      <c r="Q52">
        <v>2</v>
      </c>
      <c r="R52">
        <v>-345</v>
      </c>
      <c r="T52">
        <v>2</v>
      </c>
      <c r="U52">
        <v>-345</v>
      </c>
      <c r="W52" s="13"/>
      <c r="X52" s="13"/>
      <c r="Z52" t="s">
        <v>36</v>
      </c>
    </row>
    <row r="53" spans="8:27" x14ac:dyDescent="0.25">
      <c r="K53">
        <v>4</v>
      </c>
      <c r="N53">
        <v>3</v>
      </c>
      <c r="Q53">
        <v>3</v>
      </c>
      <c r="T53">
        <v>3</v>
      </c>
      <c r="Z53" t="s">
        <v>37</v>
      </c>
    </row>
    <row r="54" spans="8:27" x14ac:dyDescent="0.25">
      <c r="N54">
        <v>4</v>
      </c>
      <c r="Q54">
        <v>4</v>
      </c>
      <c r="T54">
        <v>4</v>
      </c>
      <c r="Z54" t="s">
        <v>38</v>
      </c>
    </row>
    <row r="55" spans="8:27" x14ac:dyDescent="0.25">
      <c r="Z55" t="s">
        <v>40</v>
      </c>
    </row>
    <row r="57" spans="8:27" x14ac:dyDescent="0.25">
      <c r="X57" s="12"/>
    </row>
  </sheetData>
  <phoneticPr fontId="18" type="noConversion"/>
  <conditionalFormatting sqref="P2:P19">
    <cfRule type="cellIs" dxfId="21" priority="26" operator="greaterThan">
      <formula>728</formula>
    </cfRule>
    <cfRule type="cellIs" dxfId="20" priority="27" operator="greaterThan">
      <formula>728</formula>
    </cfRule>
  </conditionalFormatting>
  <conditionalFormatting sqref="N2:N19">
    <cfRule type="cellIs" dxfId="19" priority="25" operator="lessThan">
      <formula>2</formula>
    </cfRule>
  </conditionalFormatting>
  <conditionalFormatting sqref="O2:O19">
    <cfRule type="cellIs" dxfId="18" priority="24" operator="between">
      <formula>22</formula>
      <formula>40</formula>
    </cfRule>
  </conditionalFormatting>
  <conditionalFormatting sqref="K2:K1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{EA3F4769-8741-497B-AAF4-5B57580A6BB2}</x14:id>
        </ext>
      </extLst>
    </cfRule>
  </conditionalFormatting>
  <conditionalFormatting sqref="Q2:Q19">
    <cfRule type="timePeriod" dxfId="17" priority="7" timePeriod="today">
      <formula>FLOOR(Q2,1)=TODAY()</formula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L2:L19">
    <cfRule type="colorScale" priority="21">
      <colorScale>
        <cfvo type="min"/>
        <cfvo type="max"/>
        <color rgb="FF63BE7B"/>
        <color rgb="FFFCFCFF"/>
      </colorScale>
    </cfRule>
  </conditionalFormatting>
  <conditionalFormatting sqref="M2:M19">
    <cfRule type="top10" dxfId="16" priority="20" bottom="1" rank="10"/>
  </conditionalFormatting>
  <conditionalFormatting sqref="I2:I19">
    <cfRule type="colorScale" priority="9">
      <colorScale>
        <cfvo type="min"/>
        <cfvo type="max"/>
        <color rgb="FFFF7128"/>
        <color rgb="FFFFEF9C"/>
      </colorScale>
    </cfRule>
    <cfRule type="colorScale" priority="10">
      <colorScale>
        <cfvo type="min"/>
        <cfvo type="max"/>
        <color rgb="FFC00000"/>
        <color rgb="FFC00000"/>
      </colorScale>
    </cfRule>
    <cfRule type="duplicateValues" dxfId="15" priority="18"/>
    <cfRule type="timePeriod" dxfId="14" priority="19" timePeriod="yesterday">
      <formula>FLOOR(I2,1)=TODAY()-1</formula>
    </cfRule>
  </conditionalFormatting>
  <conditionalFormatting sqref="J2:J19">
    <cfRule type="containsText" dxfId="13" priority="17" operator="containsText" text="YOGA">
      <formula>NOT(ISERROR(SEARCH("YOGA",J2)))</formula>
    </cfRule>
  </conditionalFormatting>
  <conditionalFormatting sqref="C2:C19">
    <cfRule type="top10" dxfId="12" priority="16" rank="10"/>
  </conditionalFormatting>
  <conditionalFormatting sqref="D2:D19">
    <cfRule type="top10" dxfId="11" priority="15" percent="1" rank="10"/>
  </conditionalFormatting>
  <conditionalFormatting sqref="E2:E19">
    <cfRule type="top10" dxfId="10" priority="14" bottom="1" rank="10"/>
  </conditionalFormatting>
  <conditionalFormatting sqref="F2:F19">
    <cfRule type="top10" dxfId="9" priority="13" percent="1" bottom="1" rank="10"/>
  </conditionalFormatting>
  <conditionalFormatting sqref="G2:G19">
    <cfRule type="aboveAverage" dxfId="8" priority="12"/>
  </conditionalFormatting>
  <conditionalFormatting sqref="H1:H19">
    <cfRule type="aboveAverage" dxfId="7" priority="11" aboveAverage="0"/>
  </conditionalFormatting>
  <conditionalFormatting sqref="I2:I18">
    <cfRule type="colorScale" priority="8">
      <colorScale>
        <cfvo type="min"/>
        <cfvo type="max"/>
        <color rgb="FFC00000"/>
        <color theme="0"/>
      </colorScale>
    </cfRule>
  </conditionalFormatting>
  <conditionalFormatting sqref="J1:J1048576">
    <cfRule type="containsText" dxfId="6" priority="6" operator="containsText" text="Strength">
      <formula>NOT(ISERROR(SEARCH("Strength",J1)))</formula>
    </cfRule>
  </conditionalFormatting>
  <conditionalFormatting sqref="J4">
    <cfRule type="aboveAverage" dxfId="5" priority="5"/>
  </conditionalFormatting>
  <conditionalFormatting sqref="J1:J19">
    <cfRule type="cellIs" dxfId="4" priority="3" operator="equal">
      <formula>"hiit"</formula>
    </cfRule>
    <cfRule type="top10" dxfId="3" priority="4" percent="1" bottom="1" rank="10"/>
  </conditionalFormatting>
  <conditionalFormatting sqref="A2:A19">
    <cfRule type="cellIs" dxfId="2" priority="2" operator="between">
      <formula>28</formula>
      <formula>47</formula>
    </cfRule>
  </conditionalFormatting>
  <conditionalFormatting sqref="B2:B19">
    <cfRule type="cellIs" dxfId="1" priority="1" operator="greaterThan">
      <formula>"Female"</formula>
    </cfRule>
  </conditionalFormatting>
  <pageMargins left="0.7" right="0.7" top="0.75" bottom="0.75" header="0.3" footer="0.3"/>
  <pageSetup orientation="portrait" r:id="rId1"/>
  <drawing r:id="rId2"/>
  <tableParts count="6"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3F4769-8741-497B-AAF4-5B57580A6B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gym_members_exercise_tracking_s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2026-06-04T08:35:02Z</dcterms:created>
  <dcterms:modified xsi:type="dcterms:W3CDTF">2026-06-04T11:23:35Z</dcterms:modified>
</cp:coreProperties>
</file>