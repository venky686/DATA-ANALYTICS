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TS\Downloads\"/>
    </mc:Choice>
  </mc:AlternateContent>
  <xr:revisionPtr revIDLastSave="0" documentId="8_{288E9155-7C80-4388-99F0-2368F3B63CA1}" xr6:coauthVersionLast="47" xr6:coauthVersionMax="47" xr10:uidLastSave="{00000000-0000-0000-0000-000000000000}"/>
  <bookViews>
    <workbookView xWindow="-120" yWindow="-120" windowWidth="29040" windowHeight="15720" activeTab="1" xr2:uid="{9F658C82-E38B-496E-AFE8-E267ECAAD7B1}"/>
  </bookViews>
  <sheets>
    <sheet name="cleaned_global_water_consumptio" sheetId="1" r:id="rId1"/>
    <sheet name="Sheet1" sheetId="6" r:id="rId2"/>
  </sheets>
  <definedNames>
    <definedName name="_xlnm._FilterDatabase" localSheetId="0" hidden="1">cleaned_global_water_consumptio!$A$1:$K$501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" i="6" l="1"/>
  <c r="P19" i="6"/>
  <c r="P20" i="6"/>
  <c r="P17" i="6"/>
  <c r="P16" i="1"/>
  <c r="P17" i="1"/>
  <c r="P18" i="1"/>
  <c r="P15" i="1"/>
  <c r="Z16" i="1"/>
  <c r="AC21" i="1" s="1"/>
  <c r="Z17" i="1"/>
  <c r="Z18" i="1"/>
  <c r="Z19" i="1"/>
  <c r="Z15" i="1"/>
  <c r="AC13" i="1" s="1"/>
  <c r="K26" i="1"/>
  <c r="K23" i="1"/>
  <c r="K21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2" i="1"/>
  <c r="K24" i="1"/>
  <c r="K25" i="1"/>
  <c r="K27" i="1"/>
  <c r="K28" i="1"/>
  <c r="K29" i="1"/>
  <c r="K30" i="1"/>
  <c r="K31" i="1"/>
  <c r="K32" i="1"/>
  <c r="K33" i="1"/>
  <c r="K3" i="1"/>
  <c r="K2" i="1"/>
</calcChain>
</file>

<file path=xl/sharedStrings.xml><?xml version="1.0" encoding="utf-8"?>
<sst xmlns="http://schemas.openxmlformats.org/spreadsheetml/2006/main" count="1111" uniqueCount="68">
  <si>
    <t>Country</t>
  </si>
  <si>
    <t>Year</t>
  </si>
  <si>
    <t>Total Water Consumption (Billion Cubic Meters)</t>
  </si>
  <si>
    <t>Per Capita Water Use (Liters per Day)</t>
  </si>
  <si>
    <t>Agricultural Water Use (%)</t>
  </si>
  <si>
    <t>Industrial Water Use (%)</t>
  </si>
  <si>
    <t>Household Water Use (%)</t>
  </si>
  <si>
    <t>Rainfall Impact (Annual Precipitation in mm)</t>
  </si>
  <si>
    <t>Groundwater Depletion Rate (%)</t>
  </si>
  <si>
    <t>Water Scarcity Level</t>
  </si>
  <si>
    <t>Argentina</t>
  </si>
  <si>
    <t>Moderate</t>
  </si>
  <si>
    <t>Low</t>
  </si>
  <si>
    <t>Australia</t>
  </si>
  <si>
    <t>Brazil</t>
  </si>
  <si>
    <t>High</t>
  </si>
  <si>
    <t>Canada</t>
  </si>
  <si>
    <t>China</t>
  </si>
  <si>
    <t>France</t>
  </si>
  <si>
    <t>Germany</t>
  </si>
  <si>
    <t>India</t>
  </si>
  <si>
    <t>Indonesia</t>
  </si>
  <si>
    <t>Italy</t>
  </si>
  <si>
    <t>Japan</t>
  </si>
  <si>
    <t>Mexico</t>
  </si>
  <si>
    <t>Russia</t>
  </si>
  <si>
    <t>Saudi Arabia</t>
  </si>
  <si>
    <t>South Africa</t>
  </si>
  <si>
    <t>South Korea</t>
  </si>
  <si>
    <t>Spain</t>
  </si>
  <si>
    <t>Turkey</t>
  </si>
  <si>
    <t>UK</t>
  </si>
  <si>
    <t>USA</t>
  </si>
  <si>
    <t>venky</t>
  </si>
  <si>
    <t>youshi</t>
  </si>
  <si>
    <t>CHATEN</t>
  </si>
  <si>
    <t>CUKAVA</t>
  </si>
  <si>
    <t>MADANAPALLI INSTRUTE OF TECHNOLOGY AND SCIENCE</t>
  </si>
  <si>
    <t>name</t>
  </si>
  <si>
    <t>mark1</t>
  </si>
  <si>
    <t>m2</t>
  </si>
  <si>
    <t xml:space="preserve">m3  </t>
  </si>
  <si>
    <t>m4</t>
  </si>
  <si>
    <t>total</t>
  </si>
  <si>
    <t>sakanada</t>
  </si>
  <si>
    <t>kounchi</t>
  </si>
  <si>
    <t>kyeu</t>
  </si>
  <si>
    <t>tata</t>
  </si>
  <si>
    <t>abigeath</t>
  </si>
  <si>
    <t xml:space="preserve">         </t>
  </si>
  <si>
    <t>vevay</t>
  </si>
  <si>
    <t>saro</t>
  </si>
  <si>
    <t>parce</t>
  </si>
  <si>
    <t>marks1</t>
  </si>
  <si>
    <t>mark2</t>
  </si>
  <si>
    <t>mark3</t>
  </si>
  <si>
    <t>total_avg</t>
  </si>
  <si>
    <t>sai</t>
  </si>
  <si>
    <t>salary</t>
  </si>
  <si>
    <t>chaten</t>
  </si>
  <si>
    <t>microsoft</t>
  </si>
  <si>
    <t>teacher</t>
  </si>
  <si>
    <t>pin-1267</t>
  </si>
  <si>
    <t>place-ap</t>
  </si>
  <si>
    <t>office</t>
  </si>
  <si>
    <t>ds</t>
  </si>
  <si>
    <t>vomesh</t>
  </si>
  <si>
    <t>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</si>
</sst>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114300</xdr:colOff>
      <xdr:row>18</xdr:row>
      <xdr:rowOff>123825</xdr:rowOff>
    </xdr:from>
    <xdr:to>
      <xdr:col>14</xdr:col>
      <xdr:colOff>466725</xdr:colOff>
      <xdr:row>22</xdr:row>
      <xdr:rowOff>123825</xdr:rowOff>
    </xdr:to>
    <xdr:sp macro="[0]!absolute_macro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1D2B363-9BA5-D8FD-F341-E29A34281706}"/>
            </a:ext>
          </a:extLst>
        </xdr:cNvPr>
        <xdr:cNvSpPr/>
      </xdr:nvSpPr>
      <xdr:spPr>
        <a:xfrm>
          <a:off x="7600950" y="4219575"/>
          <a:ext cx="1590675" cy="762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/>
            <a:t>   GET absolute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24</xdr:row>
      <xdr:rowOff>161925</xdr:rowOff>
    </xdr:from>
    <xdr:to>
      <xdr:col>15</xdr:col>
      <xdr:colOff>257175</xdr:colOff>
      <xdr:row>28</xdr:row>
      <xdr:rowOff>161925</xdr:rowOff>
    </xdr:to>
    <xdr:sp macro="absolute_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5906C8A-C854-148F-625A-E9AE38C5F312}"/>
            </a:ext>
          </a:extLst>
        </xdr:cNvPr>
        <xdr:cNvSpPr/>
      </xdr:nvSpPr>
      <xdr:spPr>
        <a:xfrm>
          <a:off x="8172450" y="3971925"/>
          <a:ext cx="1590675" cy="762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l"/>
          <a:r>
            <a:rPr lang="en-IN" sz="11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  GET absolute</a:t>
          </a:r>
        </a:p>
      </xdr:txBody>
    </xdr:sp>
    <xdr:clientData/>
  </xdr:twoCellAnchor>
  <xdr:twoCellAnchor>
    <xdr:from>
      <xdr:col>4</xdr:col>
      <xdr:colOff>266700</xdr:colOff>
      <xdr:row>1</xdr:row>
      <xdr:rowOff>152400</xdr:rowOff>
    </xdr:from>
    <xdr:to>
      <xdr:col>7</xdr:col>
      <xdr:colOff>381000</xdr:colOff>
      <xdr:row>5</xdr:row>
      <xdr:rowOff>95250</xdr:rowOff>
    </xdr:to>
    <xdr:sp macro="[0]!ms_ex2" textlink="">
      <xdr:nvSpPr>
        <xdr:cNvPr id="7" name="Oval 6">
          <a:extLst>
            <a:ext uri="{FF2B5EF4-FFF2-40B4-BE49-F238E27FC236}">
              <a16:creationId xmlns:a16="http://schemas.microsoft.com/office/drawing/2014/main" id="{96E5A64B-CBC1-FBAF-DBBF-DD103F1D491B}"/>
            </a:ext>
          </a:extLst>
        </xdr:cNvPr>
        <xdr:cNvSpPr/>
      </xdr:nvSpPr>
      <xdr:spPr>
        <a:xfrm>
          <a:off x="3048000" y="342900"/>
          <a:ext cx="1943100" cy="7048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000"/>
            <a:t>get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3E67EE-3A24-4C1A-88FC-87BE4F5FBFE4}" name="Table1" displayName="Table1" ref="U14:Z19" totalsRowShown="0">
  <autoFilter ref="U14:Z19" xr:uid="{913E67EE-3A24-4C1A-88FC-87BE4F5FBFE4}"/>
  <tableColumns count="6">
    <tableColumn id="1" xr3:uid="{C490C9D3-0DEE-41CF-A340-2733E1D5CAF4}" name="name"/>
    <tableColumn id="2" xr3:uid="{2EEC4E29-AC01-472F-A0B4-8291D360B799}" name="mark1"/>
    <tableColumn id="3" xr3:uid="{1C503C59-2F4F-4A8A-B144-39572915C5A2}" name="m2"/>
    <tableColumn id="4" xr3:uid="{24EE3AFD-907B-46A6-860A-79DC0AE1308D}" name="m3  "/>
    <tableColumn id="5" xr3:uid="{42E0026E-B797-447E-B9E4-5FB14335EBCC}" name="m4"/>
    <tableColumn id="6" xr3:uid="{3BFFFA7C-3CCE-4519-BC0B-FF21541F73DC}" name="total">
      <calculatedColumnFormula>AVERAGE(V15:Y15)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944469-D71B-42D2-9A77-2F7CF81FE2BC}" name="Table2" displayName="Table2" ref="L14:P18" totalsRowShown="0">
  <autoFilter ref="L14:P18" xr:uid="{60944469-D71B-42D2-9A77-2F7CF81FE2BC}"/>
  <tableColumns count="5">
    <tableColumn id="1" xr3:uid="{BDDD1DD5-7D7E-4151-AE05-28135483E4FE}" name="name"/>
    <tableColumn id="2" xr3:uid="{1B1075D8-1997-4E9A-A314-6CAFB418E72B}" name="marks1"/>
    <tableColumn id="3" xr3:uid="{C9F7EF3E-5378-47CD-8609-D9E6029DF5ED}" name="mark2"/>
    <tableColumn id="4" xr3:uid="{E1ADA87C-1AA9-4585-86F3-8B9FD3B824A6}" name="mark3"/>
    <tableColumn id="5" xr3:uid="{B41DDDB9-F491-4914-9E89-2F79251EE25D}" name="total_avg">
      <calculatedColumnFormula>AVERAGE(M15:O15)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A4703C8-7493-446F-A98C-157AD5E44FA5}" name="Table2" displayName="Table2_1" ref="L16:P20" totalsRowShown="0">
  <autoFilter ref="L16:P20" xr:uid="{4A4703C8-7493-446F-A98C-157AD5E44FA5}"/>
  <tableColumns count="5">
    <tableColumn id="1" xr3:uid="{005B3DAA-FDB6-4DA6-A951-166D29FCF42C}" name="name"/>
    <tableColumn id="2" xr3:uid="{7477A67C-DC83-4C23-B5FA-EDD62C630B46}" name="marks1"/>
    <tableColumn id="3" xr3:uid="{BCF873F3-7A37-4730-8D44-398F3378A5CB}" name="mark2"/>
    <tableColumn id="4" xr3:uid="{87B66BF6-38A2-48B7-B52B-4501839E74B8}" name="mark3"/>
    <tableColumn id="5" xr3:uid="{CFA3F514-1614-4337-9A6E-D178660292FD}" name="total_avg">
      <calculatedColumnFormula>AVERAGE(M17:O17)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790FD-7048-40D3-B554-7A87A267CBFA}">
  <sheetPr codeName="Sheet1">
    <tabColor theme="5" tint="-0.249977111117893"/>
  </sheetPr>
  <dimension ref="A1:AD501"/>
  <sheetViews>
    <sheetView topLeftCell="H1" workbookViewId="0">
      <pane ySplit="1" topLeftCell="A2" activePane="bottomLeft" state="frozen"/>
      <selection pane="bottomLeft" activeCell="U26" sqref="U26"/>
    </sheetView>
  </sheetViews>
  <sheetFormatPr defaultRowHeight="15" x14ac:dyDescent="0.25"/>
  <cols>
    <col min="11" max="11" width="11.7109375" customWidth="1"/>
    <col min="13" max="13" width="9.42578125" customWidth="1"/>
    <col min="16" max="16" width="11.28515625" customWidth="1"/>
  </cols>
  <sheetData>
    <row r="1" spans="1:30" ht="20.2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M1" s="1"/>
    </row>
    <row r="2" spans="1:30" ht="45" x14ac:dyDescent="0.25">
      <c r="A2" t="s">
        <v>10</v>
      </c>
      <c r="B2">
        <v>2000</v>
      </c>
      <c r="C2">
        <v>481.49</v>
      </c>
      <c r="D2">
        <v>235.4314286</v>
      </c>
      <c r="E2" s="2">
        <v>0</v>
      </c>
      <c r="F2">
        <v>20.844285710000001</v>
      </c>
      <c r="G2">
        <v>30.1</v>
      </c>
      <c r="H2">
        <v>1288.6985709999999</v>
      </c>
      <c r="I2">
        <v>3.2557142859999999</v>
      </c>
      <c r="J2" t="s">
        <v>11</v>
      </c>
      <c r="K2" t="e">
        <f>F2/E2</f>
        <v>#DIV/0!</v>
      </c>
      <c r="U2" t="s">
        <v>0</v>
      </c>
      <c r="V2" t="s">
        <v>1</v>
      </c>
      <c r="W2" t="s">
        <v>2</v>
      </c>
      <c r="X2" t="s">
        <v>3</v>
      </c>
      <c r="Y2" t="s">
        <v>4</v>
      </c>
      <c r="Z2" t="s">
        <v>5</v>
      </c>
      <c r="AA2" t="s">
        <v>6</v>
      </c>
      <c r="AB2" t="s">
        <v>7</v>
      </c>
      <c r="AC2" t="s">
        <v>8</v>
      </c>
      <c r="AD2" s="1" t="s">
        <v>9</v>
      </c>
    </row>
    <row r="3" spans="1:30" x14ac:dyDescent="0.25">
      <c r="A3" t="s">
        <v>10</v>
      </c>
      <c r="B3">
        <v>2001</v>
      </c>
      <c r="C3">
        <v>455.06299999999999</v>
      </c>
      <c r="D3">
        <v>299.55099999999999</v>
      </c>
      <c r="E3" s="2">
        <v>48.465000000000003</v>
      </c>
      <c r="F3">
        <v>26.943000000000001</v>
      </c>
      <c r="G3">
        <v>22.55</v>
      </c>
      <c r="H3">
        <v>1371.729</v>
      </c>
      <c r="I3">
        <v>3.12</v>
      </c>
      <c r="J3" t="s">
        <v>11</v>
      </c>
      <c r="K3">
        <f>E3/F3</f>
        <v>1.7987974613072042</v>
      </c>
      <c r="L3" t="s">
        <v>33</v>
      </c>
      <c r="M3" t="s">
        <v>34</v>
      </c>
      <c r="U3" t="s">
        <v>10</v>
      </c>
      <c r="V3">
        <v>2000</v>
      </c>
      <c r="W3">
        <v>481.49</v>
      </c>
      <c r="X3">
        <v>235.4314286</v>
      </c>
      <c r="Y3" s="2">
        <v>0</v>
      </c>
      <c r="Z3">
        <v>20.844285710000001</v>
      </c>
      <c r="AA3">
        <v>30.1</v>
      </c>
      <c r="AC3">
        <v>3.2557142859999999</v>
      </c>
      <c r="AD3" t="s">
        <v>11</v>
      </c>
    </row>
    <row r="4" spans="1:30" x14ac:dyDescent="0.25">
      <c r="A4" t="s">
        <v>10</v>
      </c>
      <c r="B4">
        <v>2002</v>
      </c>
      <c r="C4">
        <v>482.74923080000002</v>
      </c>
      <c r="D4">
        <v>340.12461539999998</v>
      </c>
      <c r="E4" s="2">
        <v>50.375384619999998</v>
      </c>
      <c r="F4">
        <v>29.042307690000001</v>
      </c>
      <c r="G4">
        <v>23.349230769999998</v>
      </c>
      <c r="H4">
        <v>1590.3053849999999</v>
      </c>
      <c r="I4">
        <v>2.7338461540000001</v>
      </c>
      <c r="J4" t="s">
        <v>11</v>
      </c>
      <c r="K4">
        <f t="shared" ref="K4:K33" si="0">E4/F4</f>
        <v>1.7345517153013812</v>
      </c>
      <c r="L4" t="s">
        <v>35</v>
      </c>
      <c r="M4" t="s">
        <v>36</v>
      </c>
      <c r="U4" t="s">
        <v>10</v>
      </c>
      <c r="V4">
        <v>2001</v>
      </c>
      <c r="W4">
        <v>455.06299999999999</v>
      </c>
      <c r="X4">
        <v>299.55099999999999</v>
      </c>
      <c r="Y4" s="2">
        <v>48.465000000000003</v>
      </c>
      <c r="Z4">
        <v>26.943000000000001</v>
      </c>
      <c r="AA4">
        <v>22.55</v>
      </c>
      <c r="AC4">
        <v>3.12</v>
      </c>
      <c r="AD4" t="s">
        <v>11</v>
      </c>
    </row>
    <row r="5" spans="1:30" x14ac:dyDescent="0.25">
      <c r="A5" t="s">
        <v>10</v>
      </c>
      <c r="B5">
        <v>2003</v>
      </c>
      <c r="C5">
        <v>452.66</v>
      </c>
      <c r="D5">
        <v>326.75666669999998</v>
      </c>
      <c r="E5" s="2">
        <v>49.08666667</v>
      </c>
      <c r="F5">
        <v>30.475999999999999</v>
      </c>
      <c r="G5">
        <v>24.44</v>
      </c>
      <c r="H5">
        <v>1816.012667</v>
      </c>
      <c r="I5">
        <v>2.7080000000000002</v>
      </c>
      <c r="J5" t="s">
        <v>11</v>
      </c>
      <c r="K5">
        <f t="shared" si="0"/>
        <v>1.6106663167738549</v>
      </c>
      <c r="U5" t="s">
        <v>10</v>
      </c>
      <c r="V5">
        <v>2002</v>
      </c>
      <c r="W5">
        <v>482.74923080000002</v>
      </c>
      <c r="X5">
        <v>340.12461539999998</v>
      </c>
      <c r="Y5" s="2">
        <v>50.375384619999998</v>
      </c>
      <c r="Z5">
        <v>29.042307690000001</v>
      </c>
      <c r="AA5">
        <v>23.349230769999998</v>
      </c>
      <c r="AC5">
        <v>2.7338461540000001</v>
      </c>
      <c r="AD5" t="s">
        <v>11</v>
      </c>
    </row>
    <row r="6" spans="1:30" x14ac:dyDescent="0.25">
      <c r="A6" t="s">
        <v>10</v>
      </c>
      <c r="B6">
        <v>2004</v>
      </c>
      <c r="C6">
        <v>634.56600000000003</v>
      </c>
      <c r="D6">
        <v>230.346</v>
      </c>
      <c r="E6" s="2">
        <v>38.67</v>
      </c>
      <c r="F6">
        <v>36.67</v>
      </c>
      <c r="G6">
        <v>23.923999999999999</v>
      </c>
      <c r="H6">
        <v>815.99800000000005</v>
      </c>
      <c r="I6">
        <v>1.9019999999999999</v>
      </c>
      <c r="J6" t="s">
        <v>11</v>
      </c>
      <c r="K6">
        <f t="shared" si="0"/>
        <v>1.0545404963185165</v>
      </c>
      <c r="U6" t="s">
        <v>10</v>
      </c>
      <c r="V6">
        <v>2003</v>
      </c>
      <c r="W6">
        <v>452.66</v>
      </c>
      <c r="X6">
        <v>326.75666669999998</v>
      </c>
      <c r="Y6" s="2">
        <v>49.08666667</v>
      </c>
      <c r="Z6">
        <v>30.475999999999999</v>
      </c>
      <c r="AA6">
        <v>24.44</v>
      </c>
      <c r="AC6">
        <v>2.7080000000000002</v>
      </c>
      <c r="AD6" t="s">
        <v>11</v>
      </c>
    </row>
    <row r="7" spans="1:30" x14ac:dyDescent="0.25">
      <c r="A7" t="s">
        <v>10</v>
      </c>
      <c r="B7">
        <v>2005</v>
      </c>
      <c r="C7">
        <v>458.077</v>
      </c>
      <c r="D7">
        <v>265.012</v>
      </c>
      <c r="E7" s="2">
        <v>59.834000000000003</v>
      </c>
      <c r="F7">
        <v>29.288</v>
      </c>
      <c r="G7">
        <v>22.649000000000001</v>
      </c>
      <c r="H7">
        <v>1826.2929999999999</v>
      </c>
      <c r="I7">
        <v>2.7240000000000002</v>
      </c>
      <c r="J7" t="s">
        <v>11</v>
      </c>
      <c r="K7">
        <f t="shared" si="0"/>
        <v>2.0429527451515979</v>
      </c>
      <c r="U7" t="s">
        <v>10</v>
      </c>
      <c r="V7">
        <v>2004</v>
      </c>
      <c r="W7">
        <v>634.56600000000003</v>
      </c>
      <c r="X7">
        <v>230.346</v>
      </c>
      <c r="Y7" s="2">
        <v>38.67</v>
      </c>
      <c r="Z7">
        <v>36.67</v>
      </c>
      <c r="AA7">
        <v>23.923999999999999</v>
      </c>
      <c r="AC7">
        <v>1.9019999999999999</v>
      </c>
      <c r="AD7" t="s">
        <v>11</v>
      </c>
    </row>
    <row r="8" spans="1:30" x14ac:dyDescent="0.25">
      <c r="A8" t="s">
        <v>10</v>
      </c>
      <c r="B8">
        <v>2006</v>
      </c>
      <c r="C8">
        <v>452.98333330000003</v>
      </c>
      <c r="D8">
        <v>111.70833330000001</v>
      </c>
      <c r="E8" s="2">
        <v>54.96166667</v>
      </c>
      <c r="F8">
        <v>29.791666670000001</v>
      </c>
      <c r="G8">
        <v>28.831666670000001</v>
      </c>
      <c r="H8">
        <v>1318.923333</v>
      </c>
      <c r="I8">
        <v>3.1333333329999999</v>
      </c>
      <c r="J8" t="s">
        <v>11</v>
      </c>
      <c r="K8">
        <f t="shared" si="0"/>
        <v>1.8448671327726023</v>
      </c>
      <c r="U8" t="s">
        <v>10</v>
      </c>
      <c r="V8">
        <v>2005</v>
      </c>
      <c r="W8">
        <v>458.077</v>
      </c>
      <c r="X8">
        <v>265.012</v>
      </c>
      <c r="Y8" s="2">
        <v>59.834000000000003</v>
      </c>
      <c r="Z8">
        <v>29.288</v>
      </c>
      <c r="AA8">
        <v>22.649000000000001</v>
      </c>
      <c r="AC8">
        <v>2.7240000000000002</v>
      </c>
      <c r="AD8" t="s">
        <v>11</v>
      </c>
    </row>
    <row r="9" spans="1:30" x14ac:dyDescent="0.25">
      <c r="A9" t="s">
        <v>10</v>
      </c>
      <c r="B9">
        <v>2007</v>
      </c>
      <c r="C9">
        <v>691.10249999999996</v>
      </c>
      <c r="D9">
        <v>192.815</v>
      </c>
      <c r="E9" s="2">
        <v>41.655000000000001</v>
      </c>
      <c r="F9">
        <v>16.704999999999998</v>
      </c>
      <c r="G9">
        <v>20.309999999999999</v>
      </c>
      <c r="H9">
        <v>1500.8375000000001</v>
      </c>
      <c r="I9">
        <v>3.5</v>
      </c>
      <c r="J9" t="s">
        <v>11</v>
      </c>
      <c r="K9">
        <f t="shared" si="0"/>
        <v>2.4935648009577975</v>
      </c>
      <c r="U9" t="s">
        <v>10</v>
      </c>
      <c r="V9">
        <v>2006</v>
      </c>
      <c r="W9">
        <v>452.98333330000003</v>
      </c>
      <c r="X9">
        <v>111.70833330000001</v>
      </c>
      <c r="Y9" s="2">
        <v>54.96166667</v>
      </c>
      <c r="Z9">
        <v>29.791666670000001</v>
      </c>
      <c r="AA9">
        <v>28.831666670000001</v>
      </c>
      <c r="AC9">
        <v>3.1333333329999999</v>
      </c>
      <c r="AD9" t="s">
        <v>11</v>
      </c>
    </row>
    <row r="10" spans="1:30" ht="32.25" customHeight="1" x14ac:dyDescent="0.25">
      <c r="A10" t="s">
        <v>10</v>
      </c>
      <c r="B10">
        <v>2008</v>
      </c>
      <c r="C10">
        <v>494.048</v>
      </c>
      <c r="D10">
        <v>230.44300000000001</v>
      </c>
      <c r="E10" s="2">
        <v>60.323</v>
      </c>
      <c r="F10">
        <v>24.483000000000001</v>
      </c>
      <c r="G10">
        <v>24.21</v>
      </c>
      <c r="H10">
        <v>1378.952</v>
      </c>
      <c r="I10">
        <v>3.0059999999999998</v>
      </c>
      <c r="J10" t="s">
        <v>11</v>
      </c>
      <c r="K10">
        <f t="shared" si="0"/>
        <v>2.4638728913940287</v>
      </c>
      <c r="N10" s="1" t="s">
        <v>37</v>
      </c>
      <c r="U10" t="s">
        <v>10</v>
      </c>
      <c r="V10">
        <v>2007</v>
      </c>
      <c r="W10">
        <v>691.10249999999996</v>
      </c>
      <c r="X10">
        <v>192.815</v>
      </c>
      <c r="Y10" s="2">
        <v>41.655000000000001</v>
      </c>
      <c r="Z10">
        <v>16.704999999999998</v>
      </c>
      <c r="AA10">
        <v>20.309999999999999</v>
      </c>
      <c r="AC10">
        <v>3.5</v>
      </c>
      <c r="AD10" t="s">
        <v>11</v>
      </c>
    </row>
    <row r="11" spans="1:30" x14ac:dyDescent="0.25">
      <c r="A11" t="s">
        <v>10</v>
      </c>
      <c r="B11">
        <v>2009</v>
      </c>
      <c r="C11">
        <v>637.87833330000001</v>
      </c>
      <c r="D11">
        <v>230.68166669999999</v>
      </c>
      <c r="E11" s="2">
        <v>54.916666669999998</v>
      </c>
      <c r="F11">
        <v>29.051666669999999</v>
      </c>
      <c r="G11">
        <v>21.21166667</v>
      </c>
      <c r="H11">
        <v>1141.906667</v>
      </c>
      <c r="I11">
        <v>2.3566666669999998</v>
      </c>
      <c r="J11" t="s">
        <v>11</v>
      </c>
      <c r="K11">
        <f t="shared" si="0"/>
        <v>1.8903103664861096</v>
      </c>
      <c r="Q11">
        <v>2000</v>
      </c>
      <c r="R11" t="s">
        <v>11</v>
      </c>
    </row>
    <row r="12" spans="1:30" x14ac:dyDescent="0.25">
      <c r="A12" t="s">
        <v>10</v>
      </c>
      <c r="B12">
        <v>2010</v>
      </c>
      <c r="C12">
        <v>502.875</v>
      </c>
      <c r="D12">
        <v>216.80699999999999</v>
      </c>
      <c r="E12" s="2">
        <v>49.325000000000003</v>
      </c>
      <c r="F12">
        <v>23.931999999999999</v>
      </c>
      <c r="G12">
        <v>25.207999999999998</v>
      </c>
      <c r="H12">
        <v>1496.221</v>
      </c>
      <c r="I12">
        <v>2.6709999999999998</v>
      </c>
      <c r="J12" t="s">
        <v>11</v>
      </c>
      <c r="K12">
        <f t="shared" si="0"/>
        <v>2.0610479692461978</v>
      </c>
      <c r="Q12">
        <v>2001</v>
      </c>
      <c r="R12" t="s">
        <v>11</v>
      </c>
    </row>
    <row r="13" spans="1:30" x14ac:dyDescent="0.25">
      <c r="A13" t="s">
        <v>10</v>
      </c>
      <c r="B13">
        <v>2011</v>
      </c>
      <c r="C13">
        <v>535.33687499999996</v>
      </c>
      <c r="D13">
        <v>317.69375000000002</v>
      </c>
      <c r="E13" s="2">
        <v>44.387500000000003</v>
      </c>
      <c r="F13">
        <v>29.157499999999999</v>
      </c>
      <c r="G13">
        <v>22.778124999999999</v>
      </c>
      <c r="H13">
        <v>1814.8656249999999</v>
      </c>
      <c r="I13">
        <v>2.9556249999999999</v>
      </c>
      <c r="J13" t="s">
        <v>11</v>
      </c>
      <c r="K13">
        <f t="shared" si="0"/>
        <v>1.5223355911858014</v>
      </c>
      <c r="Q13">
        <v>2002</v>
      </c>
      <c r="R13" t="s">
        <v>11</v>
      </c>
      <c r="AC13">
        <f>Z15</f>
        <v>79.25</v>
      </c>
    </row>
    <row r="14" spans="1:30" x14ac:dyDescent="0.25">
      <c r="A14" t="s">
        <v>10</v>
      </c>
      <c r="B14">
        <v>2012</v>
      </c>
      <c r="C14">
        <v>556.41166669999996</v>
      </c>
      <c r="D14">
        <v>248.72</v>
      </c>
      <c r="E14" s="2">
        <v>60.311666670000001</v>
      </c>
      <c r="F14">
        <v>31.94166667</v>
      </c>
      <c r="G14">
        <v>23.425000000000001</v>
      </c>
      <c r="H14">
        <v>1428.521667</v>
      </c>
      <c r="I14">
        <v>2.5633333330000001</v>
      </c>
      <c r="J14" t="s">
        <v>11</v>
      </c>
      <c r="K14">
        <f t="shared" si="0"/>
        <v>1.8881815809143563</v>
      </c>
      <c r="L14" t="s">
        <v>38</v>
      </c>
      <c r="M14" t="s">
        <v>53</v>
      </c>
      <c r="N14" t="s">
        <v>54</v>
      </c>
      <c r="O14" t="s">
        <v>55</v>
      </c>
      <c r="P14" t="s">
        <v>56</v>
      </c>
      <c r="Q14">
        <v>2003</v>
      </c>
      <c r="R14" t="s">
        <v>11</v>
      </c>
      <c r="U14" t="s">
        <v>38</v>
      </c>
      <c r="V14" t="s">
        <v>39</v>
      </c>
      <c r="W14" t="s">
        <v>40</v>
      </c>
      <c r="X14" t="s">
        <v>41</v>
      </c>
      <c r="Y14" t="s">
        <v>42</v>
      </c>
      <c r="Z14" t="s">
        <v>43</v>
      </c>
      <c r="AB14">
        <v>35</v>
      </c>
      <c r="AC14">
        <f t="dataTable" ref="AC14:AC19" dt2D="0" dtr="0" r1="Y15"/>
        <v>68.75</v>
      </c>
    </row>
    <row r="15" spans="1:30" x14ac:dyDescent="0.25">
      <c r="A15" t="s">
        <v>10</v>
      </c>
      <c r="B15">
        <v>2013</v>
      </c>
      <c r="C15">
        <v>505.6286667</v>
      </c>
      <c r="D15">
        <v>265.71800000000002</v>
      </c>
      <c r="E15" s="2">
        <v>48.59933333</v>
      </c>
      <c r="F15">
        <v>32.003999999999998</v>
      </c>
      <c r="G15">
        <v>26.01466667</v>
      </c>
      <c r="H15">
        <v>1375.5160000000001</v>
      </c>
      <c r="I15">
        <v>3.1539999999999999</v>
      </c>
      <c r="J15" t="s">
        <v>11</v>
      </c>
      <c r="K15">
        <f t="shared" si="0"/>
        <v>1.5185393491438572</v>
      </c>
      <c r="L15" t="s">
        <v>33</v>
      </c>
      <c r="M15">
        <v>56</v>
      </c>
      <c r="N15">
        <v>95</v>
      </c>
      <c r="O15">
        <v>59</v>
      </c>
      <c r="P15">
        <f>AVERAGE(M15:O15)</f>
        <v>70</v>
      </c>
      <c r="Q15">
        <v>2004</v>
      </c>
      <c r="R15" t="s">
        <v>11</v>
      </c>
      <c r="U15" t="s">
        <v>44</v>
      </c>
      <c r="V15">
        <v>45</v>
      </c>
      <c r="W15">
        <v>98</v>
      </c>
      <c r="X15">
        <v>97</v>
      </c>
      <c r="Y15">
        <v>77</v>
      </c>
      <c r="Z15">
        <f>AVERAGE(V15:Y15)</f>
        <v>79.25</v>
      </c>
      <c r="AB15">
        <v>80</v>
      </c>
      <c r="AC15">
        <v>80</v>
      </c>
    </row>
    <row r="16" spans="1:30" x14ac:dyDescent="0.25">
      <c r="A16" t="s">
        <v>10</v>
      </c>
      <c r="B16">
        <v>2014</v>
      </c>
      <c r="C16">
        <v>558.16111109999997</v>
      </c>
      <c r="D16">
        <v>314.2377778</v>
      </c>
      <c r="E16" s="2">
        <v>50.90888889</v>
      </c>
      <c r="F16">
        <v>24.631111109999999</v>
      </c>
      <c r="G16">
        <v>25.77444444</v>
      </c>
      <c r="H16">
        <v>1912.69</v>
      </c>
      <c r="I16">
        <v>2.4444444440000002</v>
      </c>
      <c r="J16" t="s">
        <v>11</v>
      </c>
      <c r="K16">
        <f t="shared" si="0"/>
        <v>2.0668531217550909</v>
      </c>
      <c r="L16" t="s">
        <v>50</v>
      </c>
      <c r="M16">
        <v>78</v>
      </c>
      <c r="N16">
        <v>57</v>
      </c>
      <c r="O16">
        <v>57</v>
      </c>
      <c r="P16">
        <f t="shared" ref="P16:P18" si="1">AVERAGE(M16:O16)</f>
        <v>64</v>
      </c>
      <c r="Q16">
        <v>2005</v>
      </c>
      <c r="R16" t="s">
        <v>11</v>
      </c>
      <c r="U16" t="s">
        <v>45</v>
      </c>
      <c r="V16">
        <v>78</v>
      </c>
      <c r="W16">
        <v>44</v>
      </c>
      <c r="X16">
        <v>68</v>
      </c>
      <c r="Y16">
        <v>77</v>
      </c>
      <c r="Z16">
        <f t="shared" ref="Z16:Z19" si="2">AVERAGE(V16:Y16)</f>
        <v>66.75</v>
      </c>
      <c r="AB16">
        <v>85</v>
      </c>
      <c r="AC16">
        <v>81.25</v>
      </c>
    </row>
    <row r="17" spans="1:29" x14ac:dyDescent="0.25">
      <c r="A17" t="s">
        <v>10</v>
      </c>
      <c r="B17">
        <v>2015</v>
      </c>
      <c r="C17">
        <v>565.11500000000001</v>
      </c>
      <c r="D17">
        <v>288.1383333</v>
      </c>
      <c r="E17" s="2">
        <v>49.5</v>
      </c>
      <c r="F17">
        <v>22.815000000000001</v>
      </c>
      <c r="G17">
        <v>28.526666670000001</v>
      </c>
      <c r="H17">
        <v>1782.6</v>
      </c>
      <c r="I17">
        <v>2.6166666670000001</v>
      </c>
      <c r="J17" t="s">
        <v>11</v>
      </c>
      <c r="K17">
        <f t="shared" si="0"/>
        <v>2.1696252465483234</v>
      </c>
      <c r="L17" t="s">
        <v>51</v>
      </c>
      <c r="M17">
        <v>98</v>
      </c>
      <c r="N17">
        <v>96</v>
      </c>
      <c r="O17">
        <v>79</v>
      </c>
      <c r="P17">
        <f t="shared" si="1"/>
        <v>91</v>
      </c>
      <c r="Q17">
        <v>2006</v>
      </c>
      <c r="R17" t="s">
        <v>11</v>
      </c>
      <c r="U17" t="s">
        <v>46</v>
      </c>
      <c r="V17">
        <v>98</v>
      </c>
      <c r="W17">
        <v>77</v>
      </c>
      <c r="X17">
        <v>87</v>
      </c>
      <c r="Y17">
        <v>77</v>
      </c>
      <c r="Z17">
        <f t="shared" si="2"/>
        <v>84.75</v>
      </c>
      <c r="AB17">
        <v>90</v>
      </c>
      <c r="AC17">
        <v>82.5</v>
      </c>
    </row>
    <row r="18" spans="1:29" x14ac:dyDescent="0.25">
      <c r="A18" t="s">
        <v>10</v>
      </c>
      <c r="B18">
        <v>2016</v>
      </c>
      <c r="C18">
        <v>467.31809520000002</v>
      </c>
      <c r="D18">
        <v>322.0538095</v>
      </c>
      <c r="E18" s="2">
        <v>49.361904760000002</v>
      </c>
      <c r="F18">
        <v>28.402380950000001</v>
      </c>
      <c r="G18">
        <v>22.30761905</v>
      </c>
      <c r="H18">
        <v>1730.01</v>
      </c>
      <c r="I18">
        <v>2.6428571430000001</v>
      </c>
      <c r="J18" t="s">
        <v>11</v>
      </c>
      <c r="K18">
        <f t="shared" si="0"/>
        <v>1.7379495348258822</v>
      </c>
      <c r="L18" t="s">
        <v>52</v>
      </c>
      <c r="M18">
        <v>78</v>
      </c>
      <c r="N18">
        <v>56</v>
      </c>
      <c r="O18">
        <v>68</v>
      </c>
      <c r="P18">
        <f t="shared" si="1"/>
        <v>67.333333333333329</v>
      </c>
      <c r="Q18">
        <v>2007</v>
      </c>
      <c r="R18" t="s">
        <v>11</v>
      </c>
      <c r="U18" t="s">
        <v>47</v>
      </c>
      <c r="V18">
        <v>80</v>
      </c>
      <c r="W18">
        <v>75</v>
      </c>
      <c r="X18">
        <v>63</v>
      </c>
      <c r="Y18">
        <v>77</v>
      </c>
      <c r="Z18">
        <f t="shared" si="2"/>
        <v>73.75</v>
      </c>
      <c r="AB18">
        <v>95</v>
      </c>
      <c r="AC18">
        <v>83.75</v>
      </c>
    </row>
    <row r="19" spans="1:29" x14ac:dyDescent="0.25">
      <c r="A19" t="s">
        <v>10</v>
      </c>
      <c r="B19">
        <v>2017</v>
      </c>
      <c r="C19">
        <v>477.19789470000001</v>
      </c>
      <c r="D19">
        <v>265.23</v>
      </c>
      <c r="E19" s="2">
        <v>56.492631580000001</v>
      </c>
      <c r="F19">
        <v>29.68</v>
      </c>
      <c r="G19">
        <v>24.354736840000001</v>
      </c>
      <c r="H19">
        <v>1665.009474</v>
      </c>
      <c r="I19">
        <v>2.666315789</v>
      </c>
      <c r="J19" t="s">
        <v>11</v>
      </c>
      <c r="K19">
        <f t="shared" si="0"/>
        <v>1.9033905518867924</v>
      </c>
      <c r="Q19">
        <v>2008</v>
      </c>
      <c r="R19" t="s">
        <v>11</v>
      </c>
      <c r="U19" t="s">
        <v>48</v>
      </c>
      <c r="V19">
        <v>98</v>
      </c>
      <c r="W19">
        <v>87</v>
      </c>
      <c r="X19">
        <v>86</v>
      </c>
      <c r="Y19">
        <v>90</v>
      </c>
      <c r="Z19">
        <f t="shared" si="2"/>
        <v>90.25</v>
      </c>
      <c r="AB19">
        <v>100</v>
      </c>
      <c r="AC19">
        <v>85</v>
      </c>
    </row>
    <row r="20" spans="1:29" x14ac:dyDescent="0.25">
      <c r="A20" t="s">
        <v>10</v>
      </c>
      <c r="B20">
        <v>2018</v>
      </c>
      <c r="C20">
        <v>649.13</v>
      </c>
      <c r="D20">
        <v>281.83199999999999</v>
      </c>
      <c r="E20" s="2">
        <v>54.83</v>
      </c>
      <c r="F20">
        <v>21.260999999999999</v>
      </c>
      <c r="G20">
        <v>25.314</v>
      </c>
      <c r="H20">
        <v>1449.1020000000001</v>
      </c>
      <c r="I20">
        <v>2.2639999999999998</v>
      </c>
      <c r="J20" t="s">
        <v>11</v>
      </c>
      <c r="K20">
        <f t="shared" si="0"/>
        <v>2.5789003339447816</v>
      </c>
      <c r="Q20">
        <v>2009</v>
      </c>
      <c r="R20" t="s">
        <v>11</v>
      </c>
    </row>
    <row r="21" spans="1:29" x14ac:dyDescent="0.25">
      <c r="A21" t="s">
        <v>10</v>
      </c>
      <c r="B21">
        <v>2019</v>
      </c>
      <c r="C21">
        <v>484.15666670000002</v>
      </c>
      <c r="D21">
        <v>268.40222219999998</v>
      </c>
      <c r="E21" s="2"/>
      <c r="F21">
        <v>34.484444439999997</v>
      </c>
      <c r="G21">
        <v>26.718888889999999</v>
      </c>
      <c r="H21">
        <v>1630.7644439999999</v>
      </c>
      <c r="I21">
        <v>2.2088888889999998</v>
      </c>
      <c r="J21" t="s">
        <v>11</v>
      </c>
      <c r="K21" t="e">
        <f>F22/E21</f>
        <v>#DIV/0!</v>
      </c>
      <c r="Q21">
        <v>2010</v>
      </c>
      <c r="R21" t="s">
        <v>11</v>
      </c>
      <c r="AC21" s="3">
        <f>Z16</f>
        <v>66.75</v>
      </c>
    </row>
    <row r="22" spans="1:29" x14ac:dyDescent="0.25">
      <c r="A22" t="s">
        <v>10</v>
      </c>
      <c r="B22">
        <v>2020</v>
      </c>
      <c r="C22">
        <v>582.00800000000004</v>
      </c>
      <c r="D22">
        <v>289.55399999999997</v>
      </c>
      <c r="E22">
        <v>66.52</v>
      </c>
      <c r="F22">
        <v>28.876000000000001</v>
      </c>
      <c r="G22">
        <v>29.846</v>
      </c>
      <c r="H22">
        <v>1455.684</v>
      </c>
      <c r="I22">
        <v>2.0920000000000001</v>
      </c>
      <c r="J22" t="s">
        <v>11</v>
      </c>
      <c r="K22">
        <f t="shared" si="0"/>
        <v>2.3036431638731125</v>
      </c>
      <c r="Q22">
        <v>2011</v>
      </c>
      <c r="R22" t="s">
        <v>11</v>
      </c>
      <c r="AB22">
        <v>35</v>
      </c>
      <c r="AC22">
        <f t="dataTable" ref="AC22:AC27" dt2D="0" dtr="0" r1="Y16"/>
        <v>56.25</v>
      </c>
    </row>
    <row r="23" spans="1:29" x14ac:dyDescent="0.25">
      <c r="A23" t="s">
        <v>10</v>
      </c>
      <c r="B23">
        <v>2021</v>
      </c>
      <c r="C23">
        <v>432.46833329999998</v>
      </c>
      <c r="D23">
        <v>260.57499999999999</v>
      </c>
      <c r="E23">
        <v>0</v>
      </c>
      <c r="F23">
        <v>29.44083333</v>
      </c>
      <c r="G23">
        <v>22.13</v>
      </c>
      <c r="H23">
        <v>2076.7633329999999</v>
      </c>
      <c r="I23">
        <v>2.673333333</v>
      </c>
      <c r="J23" t="s">
        <v>11</v>
      </c>
      <c r="K23">
        <f>E23/F23</f>
        <v>0</v>
      </c>
      <c r="Q23">
        <v>2012</v>
      </c>
      <c r="R23" t="s">
        <v>11</v>
      </c>
      <c r="AB23">
        <v>80</v>
      </c>
      <c r="AC23">
        <v>67.5</v>
      </c>
    </row>
    <row r="24" spans="1:29" x14ac:dyDescent="0.25">
      <c r="A24" t="s">
        <v>10</v>
      </c>
      <c r="B24">
        <v>2022</v>
      </c>
      <c r="C24">
        <v>523.88105259999998</v>
      </c>
      <c r="D24">
        <v>296.7405263</v>
      </c>
      <c r="E24">
        <v>48.518421050000001</v>
      </c>
      <c r="F24">
        <v>28.506315789999999</v>
      </c>
      <c r="G24">
        <v>28.094736839999999</v>
      </c>
      <c r="H24">
        <v>1160.5763159999999</v>
      </c>
      <c r="I24">
        <v>3.015789474</v>
      </c>
      <c r="J24" t="s">
        <v>11</v>
      </c>
      <c r="K24">
        <f t="shared" si="0"/>
        <v>1.7020235588290311</v>
      </c>
      <c r="Q24">
        <v>2013</v>
      </c>
      <c r="R24" t="s">
        <v>11</v>
      </c>
      <c r="AB24">
        <v>85</v>
      </c>
      <c r="AC24">
        <v>68.75</v>
      </c>
    </row>
    <row r="25" spans="1:29" x14ac:dyDescent="0.25">
      <c r="A25" t="s">
        <v>10</v>
      </c>
      <c r="B25">
        <v>2023</v>
      </c>
      <c r="C25">
        <v>556.76499999999999</v>
      </c>
      <c r="D25">
        <v>265.32499999999999</v>
      </c>
      <c r="E25">
        <v>40.841999999999999</v>
      </c>
      <c r="F25">
        <v>26.099</v>
      </c>
      <c r="G25">
        <v>29.271999999999998</v>
      </c>
      <c r="H25">
        <v>1701.7950000000001</v>
      </c>
      <c r="I25">
        <v>2.13</v>
      </c>
      <c r="J25" t="s">
        <v>11</v>
      </c>
      <c r="K25">
        <f t="shared" si="0"/>
        <v>1.5648875435840452</v>
      </c>
      <c r="Q25">
        <v>2014</v>
      </c>
      <c r="R25" t="s">
        <v>11</v>
      </c>
      <c r="AB25">
        <v>90</v>
      </c>
      <c r="AC25">
        <v>70</v>
      </c>
    </row>
    <row r="26" spans="1:29" x14ac:dyDescent="0.25">
      <c r="A26" t="s">
        <v>10</v>
      </c>
      <c r="B26">
        <v>2024</v>
      </c>
      <c r="C26">
        <v>647.79</v>
      </c>
      <c r="D26">
        <v>364.38285710000002</v>
      </c>
      <c r="F26">
        <v>34.142857139999997</v>
      </c>
      <c r="G26">
        <v>23.522857139999999</v>
      </c>
      <c r="H26">
        <v>2283.1571429999999</v>
      </c>
      <c r="I26">
        <v>2.2857142860000002</v>
      </c>
      <c r="J26" t="s">
        <v>12</v>
      </c>
      <c r="K26">
        <f>E26/F26</f>
        <v>0</v>
      </c>
      <c r="Q26">
        <v>2015</v>
      </c>
      <c r="R26" t="s">
        <v>11</v>
      </c>
      <c r="AB26">
        <v>95</v>
      </c>
      <c r="AC26">
        <v>71.25</v>
      </c>
    </row>
    <row r="27" spans="1:29" x14ac:dyDescent="0.25">
      <c r="A27" t="s">
        <v>13</v>
      </c>
      <c r="B27">
        <v>2000</v>
      </c>
      <c r="C27">
        <v>545.04</v>
      </c>
      <c r="D27">
        <v>296.13</v>
      </c>
      <c r="E27">
        <v>54.66375</v>
      </c>
      <c r="F27">
        <v>32.664999999999999</v>
      </c>
      <c r="G27">
        <v>21.756250000000001</v>
      </c>
      <c r="H27">
        <v>1549.73125</v>
      </c>
      <c r="I27">
        <v>2.36625</v>
      </c>
      <c r="J27" t="s">
        <v>11</v>
      </c>
      <c r="K27">
        <f t="shared" si="0"/>
        <v>1.6734654829328028</v>
      </c>
      <c r="Q27">
        <v>2016</v>
      </c>
      <c r="R27" t="s">
        <v>11</v>
      </c>
      <c r="AB27">
        <v>100</v>
      </c>
      <c r="AC27">
        <v>72.5</v>
      </c>
    </row>
    <row r="28" spans="1:29" x14ac:dyDescent="0.25">
      <c r="A28" t="s">
        <v>13</v>
      </c>
      <c r="B28">
        <v>2001</v>
      </c>
      <c r="C28">
        <v>448.22899999999998</v>
      </c>
      <c r="D28">
        <v>247.55600000000001</v>
      </c>
      <c r="E28">
        <v>46.921999999999997</v>
      </c>
      <c r="F28">
        <v>23.326000000000001</v>
      </c>
      <c r="G28">
        <v>26.132000000000001</v>
      </c>
      <c r="H28">
        <v>1554.3</v>
      </c>
      <c r="I28">
        <v>2.698</v>
      </c>
      <c r="J28" t="s">
        <v>11</v>
      </c>
      <c r="K28">
        <f t="shared" si="0"/>
        <v>2.0115750664494554</v>
      </c>
      <c r="Q28">
        <v>2017</v>
      </c>
      <c r="R28" t="s">
        <v>11</v>
      </c>
    </row>
    <row r="29" spans="1:29" x14ac:dyDescent="0.25">
      <c r="A29" t="s">
        <v>13</v>
      </c>
      <c r="B29">
        <v>2002</v>
      </c>
      <c r="C29">
        <v>488.00333330000001</v>
      </c>
      <c r="D29">
        <v>236.69666670000001</v>
      </c>
      <c r="E29">
        <v>0</v>
      </c>
      <c r="F29">
        <v>25.145</v>
      </c>
      <c r="G29">
        <v>26.341666669999999</v>
      </c>
      <c r="H29">
        <v>1457.325</v>
      </c>
      <c r="I29">
        <v>2.2066666669999999</v>
      </c>
      <c r="J29" t="s">
        <v>11</v>
      </c>
      <c r="K29">
        <f t="shared" si="0"/>
        <v>0</v>
      </c>
      <c r="Q29">
        <v>2018</v>
      </c>
      <c r="R29" t="s">
        <v>11</v>
      </c>
    </row>
    <row r="30" spans="1:29" x14ac:dyDescent="0.25">
      <c r="A30" t="s">
        <v>13</v>
      </c>
      <c r="B30">
        <v>2003</v>
      </c>
      <c r="C30">
        <v>540.80999999999995</v>
      </c>
      <c r="D30">
        <v>275.34166670000002</v>
      </c>
      <c r="E30">
        <v>48.982500000000002</v>
      </c>
      <c r="F30">
        <v>32.625</v>
      </c>
      <c r="G30">
        <v>23.827500000000001</v>
      </c>
      <c r="H30">
        <v>1721.613333</v>
      </c>
      <c r="I30">
        <v>3.3241666670000001</v>
      </c>
      <c r="J30" t="s">
        <v>11</v>
      </c>
      <c r="K30">
        <f t="shared" si="0"/>
        <v>1.5013793103448276</v>
      </c>
      <c r="Q30">
        <v>2019</v>
      </c>
      <c r="R30" t="s">
        <v>11</v>
      </c>
    </row>
    <row r="31" spans="1:29" x14ac:dyDescent="0.25">
      <c r="A31" t="s">
        <v>13</v>
      </c>
      <c r="B31">
        <v>2004</v>
      </c>
      <c r="C31">
        <v>503.86642860000001</v>
      </c>
      <c r="D31">
        <v>261.01571430000001</v>
      </c>
      <c r="F31">
        <v>27.65071429</v>
      </c>
      <c r="G31">
        <v>26.558571430000001</v>
      </c>
      <c r="H31">
        <v>1931.4371430000001</v>
      </c>
      <c r="I31">
        <v>2.2142857139999998</v>
      </c>
      <c r="J31" t="s">
        <v>11</v>
      </c>
      <c r="K31">
        <f t="shared" si="0"/>
        <v>0</v>
      </c>
      <c r="Q31">
        <v>2020</v>
      </c>
      <c r="R31" t="s">
        <v>11</v>
      </c>
    </row>
    <row r="32" spans="1:29" x14ac:dyDescent="0.25">
      <c r="A32" t="s">
        <v>13</v>
      </c>
      <c r="B32">
        <v>2005</v>
      </c>
      <c r="C32">
        <v>503.61</v>
      </c>
      <c r="D32">
        <v>255.90454550000001</v>
      </c>
      <c r="E32">
        <v>53.115454550000003</v>
      </c>
      <c r="F32">
        <v>30.747272729999999</v>
      </c>
      <c r="G32">
        <v>22.643636359999999</v>
      </c>
      <c r="H32">
        <v>1392.7081820000001</v>
      </c>
      <c r="I32">
        <v>2.2527272730000001</v>
      </c>
      <c r="J32" t="s">
        <v>11</v>
      </c>
      <c r="K32">
        <f t="shared" si="0"/>
        <v>1.7274850688846772</v>
      </c>
      <c r="Q32">
        <v>2021</v>
      </c>
      <c r="R32" t="s">
        <v>11</v>
      </c>
    </row>
    <row r="33" spans="1:18" x14ac:dyDescent="0.25">
      <c r="A33" t="s">
        <v>13</v>
      </c>
      <c r="B33">
        <v>2006</v>
      </c>
      <c r="C33">
        <v>438.37571430000003</v>
      </c>
      <c r="D33">
        <v>279.74785709999998</v>
      </c>
      <c r="F33">
        <v>32.059285709999997</v>
      </c>
      <c r="G33">
        <v>26.484999999999999</v>
      </c>
      <c r="H33">
        <v>1300.371429</v>
      </c>
      <c r="I33">
        <v>2.2828571430000002</v>
      </c>
      <c r="J33" t="s">
        <v>11</v>
      </c>
      <c r="K33">
        <f t="shared" si="0"/>
        <v>0</v>
      </c>
      <c r="Q33">
        <v>2022</v>
      </c>
      <c r="R33" t="s">
        <v>12</v>
      </c>
    </row>
    <row r="34" spans="1:18" x14ac:dyDescent="0.25">
      <c r="A34" t="s">
        <v>13</v>
      </c>
      <c r="B34">
        <v>2007</v>
      </c>
      <c r="C34">
        <v>376.92374999999998</v>
      </c>
      <c r="D34">
        <v>228.62125</v>
      </c>
      <c r="E34">
        <v>53.561250000000001</v>
      </c>
      <c r="F34">
        <v>27.13625</v>
      </c>
      <c r="G34">
        <v>29.672499999999999</v>
      </c>
      <c r="H34">
        <v>1529.41</v>
      </c>
      <c r="I34">
        <v>3.19875</v>
      </c>
      <c r="J34" t="s">
        <v>11</v>
      </c>
      <c r="Q34">
        <v>2023</v>
      </c>
      <c r="R34" t="s">
        <v>11</v>
      </c>
    </row>
    <row r="35" spans="1:18" x14ac:dyDescent="0.25">
      <c r="A35" t="s">
        <v>13</v>
      </c>
      <c r="B35">
        <v>2008</v>
      </c>
      <c r="C35">
        <v>511.38</v>
      </c>
      <c r="D35">
        <v>238.47</v>
      </c>
      <c r="E35">
        <v>55.684615379999997</v>
      </c>
      <c r="F35">
        <v>23.33230769</v>
      </c>
      <c r="G35">
        <v>26.028461539999999</v>
      </c>
      <c r="H35">
        <v>1611.926923</v>
      </c>
      <c r="I35">
        <v>2.0115384619999999</v>
      </c>
      <c r="J35" t="s">
        <v>11</v>
      </c>
      <c r="Q35">
        <v>2024</v>
      </c>
    </row>
    <row r="36" spans="1:18" x14ac:dyDescent="0.25">
      <c r="A36" t="s">
        <v>13</v>
      </c>
      <c r="B36">
        <v>2009</v>
      </c>
      <c r="C36">
        <v>442.79874999999998</v>
      </c>
      <c r="D36">
        <v>258.61624999999998</v>
      </c>
      <c r="E36">
        <v>47.388750000000002</v>
      </c>
      <c r="F36">
        <v>25.697500000000002</v>
      </c>
      <c r="G36">
        <v>26.466249999999999</v>
      </c>
      <c r="H36">
        <v>980.3125</v>
      </c>
      <c r="I36">
        <v>2.7537500000000001</v>
      </c>
      <c r="J36" t="s">
        <v>11</v>
      </c>
      <c r="Q36">
        <v>2000</v>
      </c>
    </row>
    <row r="37" spans="1:18" x14ac:dyDescent="0.25">
      <c r="A37" t="s">
        <v>13</v>
      </c>
      <c r="B37">
        <v>2010</v>
      </c>
      <c r="C37">
        <v>556.14599999999996</v>
      </c>
      <c r="D37">
        <v>235.88200000000001</v>
      </c>
      <c r="E37">
        <v>43.207999999999998</v>
      </c>
      <c r="F37">
        <v>25.952000000000002</v>
      </c>
      <c r="G37">
        <v>27.277000000000001</v>
      </c>
      <c r="H37">
        <v>1605.123</v>
      </c>
      <c r="I37">
        <v>3.4430000000000001</v>
      </c>
      <c r="J37" t="s">
        <v>11</v>
      </c>
      <c r="Q37">
        <v>2001</v>
      </c>
    </row>
    <row r="38" spans="1:18" x14ac:dyDescent="0.25">
      <c r="A38" t="s">
        <v>13</v>
      </c>
      <c r="B38">
        <v>2011</v>
      </c>
      <c r="C38">
        <v>467.77444439999999</v>
      </c>
      <c r="D38">
        <v>281.51111109999999</v>
      </c>
      <c r="E38">
        <v>52.68222222</v>
      </c>
      <c r="F38">
        <v>30.697777779999999</v>
      </c>
      <c r="G38">
        <v>22.74777778</v>
      </c>
      <c r="H38">
        <v>1955.7888889999999</v>
      </c>
      <c r="I38">
        <v>2.9166666669999999</v>
      </c>
      <c r="J38" t="s">
        <v>11</v>
      </c>
      <c r="Q38">
        <v>2002</v>
      </c>
    </row>
    <row r="39" spans="1:18" x14ac:dyDescent="0.25">
      <c r="A39" t="s">
        <v>13</v>
      </c>
      <c r="B39">
        <v>2012</v>
      </c>
      <c r="C39">
        <v>498.16647060000003</v>
      </c>
      <c r="D39">
        <v>265.89882349999999</v>
      </c>
      <c r="E39">
        <v>55.871764710000001</v>
      </c>
      <c r="F39">
        <v>26.753529409999999</v>
      </c>
      <c r="G39">
        <v>24.42</v>
      </c>
      <c r="H39">
        <v>1286.410588</v>
      </c>
      <c r="I39">
        <v>2.4294117649999998</v>
      </c>
      <c r="J39" t="s">
        <v>49</v>
      </c>
      <c r="Q39">
        <v>2003</v>
      </c>
    </row>
    <row r="40" spans="1:18" x14ac:dyDescent="0.25">
      <c r="A40" t="s">
        <v>13</v>
      </c>
      <c r="B40">
        <v>2013</v>
      </c>
      <c r="C40">
        <v>426.58416670000003</v>
      </c>
      <c r="D40">
        <v>258.65583329999998</v>
      </c>
      <c r="E40">
        <v>53.82833333</v>
      </c>
      <c r="F40">
        <v>32.014166670000002</v>
      </c>
      <c r="G40">
        <v>20.19083333</v>
      </c>
      <c r="H40">
        <v>1619.6324999999999</v>
      </c>
      <c r="I40">
        <v>2.85</v>
      </c>
      <c r="J40" t="s">
        <v>11</v>
      </c>
      <c r="Q40">
        <v>2004</v>
      </c>
    </row>
    <row r="41" spans="1:18" x14ac:dyDescent="0.25">
      <c r="A41" t="s">
        <v>13</v>
      </c>
      <c r="B41">
        <v>2014</v>
      </c>
      <c r="C41">
        <v>538.10642859999996</v>
      </c>
      <c r="D41">
        <v>290.03142860000003</v>
      </c>
      <c r="E41">
        <v>60.512857140000001</v>
      </c>
      <c r="F41">
        <v>28.475714289999999</v>
      </c>
      <c r="G41">
        <v>22.62214286</v>
      </c>
      <c r="H41">
        <v>1414.902857</v>
      </c>
      <c r="I41">
        <v>2.522857143</v>
      </c>
      <c r="J41" t="s">
        <v>11</v>
      </c>
    </row>
    <row r="42" spans="1:18" x14ac:dyDescent="0.25">
      <c r="A42" t="s">
        <v>13</v>
      </c>
      <c r="B42">
        <v>2015</v>
      </c>
      <c r="C42">
        <v>521.40666669999996</v>
      </c>
      <c r="D42">
        <v>286.93333330000002</v>
      </c>
      <c r="E42">
        <v>65.124444440000005</v>
      </c>
      <c r="F42">
        <v>32.244444440000002</v>
      </c>
      <c r="G42">
        <v>24.151111109999999</v>
      </c>
      <c r="H42">
        <v>1394.204444</v>
      </c>
      <c r="I42">
        <v>3.284444444</v>
      </c>
      <c r="J42" t="s">
        <v>11</v>
      </c>
    </row>
    <row r="43" spans="1:18" x14ac:dyDescent="0.25">
      <c r="A43" t="s">
        <v>13</v>
      </c>
      <c r="B43">
        <v>2016</v>
      </c>
      <c r="C43">
        <v>446.72199999999998</v>
      </c>
      <c r="D43">
        <v>261.39933330000002</v>
      </c>
      <c r="E43">
        <v>59.505333329999999</v>
      </c>
      <c r="F43">
        <v>25.97133333</v>
      </c>
      <c r="G43">
        <v>23.109333329999998</v>
      </c>
      <c r="H43">
        <v>1370.126</v>
      </c>
      <c r="I43">
        <v>2.992</v>
      </c>
      <c r="J43" t="s">
        <v>11</v>
      </c>
    </row>
    <row r="44" spans="1:18" x14ac:dyDescent="0.25">
      <c r="A44" t="s">
        <v>13</v>
      </c>
      <c r="B44">
        <v>2017</v>
      </c>
      <c r="C44">
        <v>626.71624999999995</v>
      </c>
      <c r="D44">
        <v>314.84750000000003</v>
      </c>
      <c r="E44">
        <v>55.92</v>
      </c>
      <c r="F44">
        <v>31.86375</v>
      </c>
      <c r="G44">
        <v>24.643750000000001</v>
      </c>
      <c r="H44">
        <v>1009.385</v>
      </c>
      <c r="I44">
        <v>2.3737499999999998</v>
      </c>
      <c r="J44" t="s">
        <v>12</v>
      </c>
    </row>
    <row r="45" spans="1:18" x14ac:dyDescent="0.25">
      <c r="A45" t="s">
        <v>13</v>
      </c>
      <c r="B45">
        <v>2018</v>
      </c>
      <c r="C45">
        <v>603.29933329999994</v>
      </c>
      <c r="D45">
        <v>288.71666670000002</v>
      </c>
      <c r="E45">
        <v>56.090666669999997</v>
      </c>
      <c r="F45">
        <v>34.11</v>
      </c>
      <c r="G45">
        <v>25.41866667</v>
      </c>
      <c r="H45">
        <v>1299.113333</v>
      </c>
      <c r="I45">
        <v>2.6253333329999999</v>
      </c>
      <c r="J45" t="s">
        <v>11</v>
      </c>
    </row>
    <row r="46" spans="1:18" x14ac:dyDescent="0.25">
      <c r="A46" t="s">
        <v>13</v>
      </c>
      <c r="B46">
        <v>2019</v>
      </c>
      <c r="C46">
        <v>548.07166670000004</v>
      </c>
      <c r="D46">
        <v>299.95999999999998</v>
      </c>
      <c r="E46">
        <v>40.895000000000003</v>
      </c>
      <c r="F46">
        <v>24.34</v>
      </c>
      <c r="G46">
        <v>21.918333329999999</v>
      </c>
      <c r="H46">
        <v>1457.06</v>
      </c>
      <c r="I46">
        <v>2.5983333329999998</v>
      </c>
      <c r="J46" t="s">
        <v>11</v>
      </c>
    </row>
    <row r="47" spans="1:18" x14ac:dyDescent="0.25">
      <c r="A47" t="s">
        <v>13</v>
      </c>
      <c r="B47">
        <v>2020</v>
      </c>
      <c r="C47">
        <v>484.79874999999998</v>
      </c>
      <c r="D47">
        <v>292.505</v>
      </c>
      <c r="E47">
        <v>48.473750000000003</v>
      </c>
      <c r="F47">
        <v>23.68</v>
      </c>
      <c r="G47">
        <v>27.546250000000001</v>
      </c>
      <c r="H47">
        <v>1549.6187500000001</v>
      </c>
      <c r="I47">
        <v>2.38</v>
      </c>
      <c r="J47" t="s">
        <v>11</v>
      </c>
    </row>
    <row r="48" spans="1:18" x14ac:dyDescent="0.25">
      <c r="A48" t="s">
        <v>13</v>
      </c>
      <c r="B48">
        <v>2021</v>
      </c>
      <c r="C48">
        <v>659.45111110000005</v>
      </c>
      <c r="D48">
        <v>288.94888889999999</v>
      </c>
      <c r="E48">
        <v>41.391111109999997</v>
      </c>
      <c r="F48">
        <v>25.623333330000001</v>
      </c>
      <c r="G48">
        <v>26.464444440000001</v>
      </c>
      <c r="H48">
        <v>1640.8244440000001</v>
      </c>
      <c r="I48">
        <v>2.0122222220000001</v>
      </c>
      <c r="J48" t="s">
        <v>11</v>
      </c>
    </row>
    <row r="49" spans="1:10" x14ac:dyDescent="0.25">
      <c r="A49" t="s">
        <v>13</v>
      </c>
      <c r="B49">
        <v>2022</v>
      </c>
      <c r="C49">
        <v>477.698125</v>
      </c>
      <c r="D49">
        <v>298.38499999999999</v>
      </c>
      <c r="E49">
        <v>53.025624999999998</v>
      </c>
      <c r="F49">
        <v>25.974374999999998</v>
      </c>
      <c r="G49">
        <v>25.078125</v>
      </c>
      <c r="H49">
        <v>1411.735625</v>
      </c>
      <c r="I49">
        <v>2.8487499999999999</v>
      </c>
      <c r="J49" t="s">
        <v>11</v>
      </c>
    </row>
    <row r="50" spans="1:10" x14ac:dyDescent="0.25">
      <c r="A50" t="s">
        <v>13</v>
      </c>
      <c r="B50">
        <v>2023</v>
      </c>
      <c r="C50">
        <v>207.79499999999999</v>
      </c>
      <c r="D50">
        <v>322.38666669999998</v>
      </c>
      <c r="E50">
        <v>59.688333329999999</v>
      </c>
      <c r="F50">
        <v>40.568333330000002</v>
      </c>
      <c r="G50">
        <v>30.145</v>
      </c>
      <c r="H50">
        <v>1297.586667</v>
      </c>
      <c r="I50">
        <v>2.5099999999999998</v>
      </c>
      <c r="J50" t="s">
        <v>12</v>
      </c>
    </row>
    <row r="51" spans="1:10" x14ac:dyDescent="0.25">
      <c r="A51" t="s">
        <v>13</v>
      </c>
      <c r="B51">
        <v>2024</v>
      </c>
      <c r="C51">
        <v>644.005</v>
      </c>
      <c r="D51">
        <v>253.959</v>
      </c>
      <c r="E51">
        <v>55.512999999999998</v>
      </c>
      <c r="F51">
        <v>29.457000000000001</v>
      </c>
      <c r="G51">
        <v>26.867999999999999</v>
      </c>
      <c r="H51">
        <v>1535.133</v>
      </c>
      <c r="I51">
        <v>1.6559999999999999</v>
      </c>
      <c r="J51" t="s">
        <v>11</v>
      </c>
    </row>
    <row r="52" spans="1:10" x14ac:dyDescent="0.25">
      <c r="A52" t="s">
        <v>14</v>
      </c>
      <c r="B52">
        <v>2000</v>
      </c>
      <c r="C52">
        <v>535.30285709999998</v>
      </c>
      <c r="D52">
        <v>254.05857140000001</v>
      </c>
      <c r="E52">
        <v>48.392857139999997</v>
      </c>
      <c r="F52">
        <v>21.062857139999998</v>
      </c>
      <c r="G52">
        <v>25.734285710000002</v>
      </c>
      <c r="H52">
        <v>1835.337143</v>
      </c>
      <c r="I52">
        <v>2.5671428569999999</v>
      </c>
      <c r="J52" t="s">
        <v>11</v>
      </c>
    </row>
    <row r="53" spans="1:10" x14ac:dyDescent="0.25">
      <c r="A53" t="s">
        <v>14</v>
      </c>
      <c r="B53">
        <v>2001</v>
      </c>
      <c r="C53">
        <v>639.00909090000005</v>
      </c>
      <c r="D53">
        <v>200.5309091</v>
      </c>
      <c r="E53">
        <v>54.661818179999997</v>
      </c>
      <c r="F53">
        <v>34.167272730000001</v>
      </c>
      <c r="G53">
        <v>21.845454549999999</v>
      </c>
      <c r="H53">
        <v>1524.764545</v>
      </c>
      <c r="I53">
        <v>2.7990909089999998</v>
      </c>
      <c r="J53" t="s">
        <v>11</v>
      </c>
    </row>
    <row r="54" spans="1:10" x14ac:dyDescent="0.25">
      <c r="A54" t="s">
        <v>14</v>
      </c>
      <c r="B54">
        <v>2002</v>
      </c>
      <c r="C54">
        <v>433.875</v>
      </c>
      <c r="D54">
        <v>286.58600000000001</v>
      </c>
      <c r="E54">
        <v>54.406999999999996</v>
      </c>
      <c r="F54">
        <v>24.681000000000001</v>
      </c>
      <c r="G54">
        <v>23.399000000000001</v>
      </c>
      <c r="H54">
        <v>2000.491</v>
      </c>
      <c r="I54">
        <v>2.383</v>
      </c>
      <c r="J54" t="s">
        <v>11</v>
      </c>
    </row>
    <row r="55" spans="1:10" x14ac:dyDescent="0.25">
      <c r="A55" t="s">
        <v>14</v>
      </c>
      <c r="B55">
        <v>2003</v>
      </c>
      <c r="C55">
        <v>613.36</v>
      </c>
      <c r="D55">
        <v>346.6015385</v>
      </c>
      <c r="E55">
        <v>55.85</v>
      </c>
      <c r="F55">
        <v>30.472307690000001</v>
      </c>
      <c r="G55">
        <v>27.447692310000001</v>
      </c>
      <c r="H55">
        <v>1511.2869229999999</v>
      </c>
      <c r="I55">
        <v>2.8776923079999999</v>
      </c>
      <c r="J55" t="s">
        <v>12</v>
      </c>
    </row>
    <row r="56" spans="1:10" x14ac:dyDescent="0.25">
      <c r="A56" t="s">
        <v>14</v>
      </c>
      <c r="B56">
        <v>2004</v>
      </c>
      <c r="C56">
        <v>511.8836364</v>
      </c>
      <c r="D56">
        <v>248.62818179999999</v>
      </c>
      <c r="E56">
        <v>51.447272730000002</v>
      </c>
      <c r="F56">
        <v>32.373636359999999</v>
      </c>
      <c r="G56">
        <v>22.470909089999999</v>
      </c>
      <c r="H56">
        <v>1641.064545</v>
      </c>
      <c r="I56">
        <v>2.613636364</v>
      </c>
      <c r="J56" t="s">
        <v>11</v>
      </c>
    </row>
    <row r="57" spans="1:10" x14ac:dyDescent="0.25">
      <c r="A57" t="s">
        <v>14</v>
      </c>
      <c r="B57">
        <v>2005</v>
      </c>
      <c r="C57">
        <v>560.62666669999999</v>
      </c>
      <c r="D57">
        <v>274.18666669999999</v>
      </c>
      <c r="E57">
        <v>47.742222220000002</v>
      </c>
      <c r="F57">
        <v>26.632222219999999</v>
      </c>
      <c r="G57">
        <v>19.81555556</v>
      </c>
      <c r="H57">
        <v>1706.97</v>
      </c>
      <c r="I57">
        <v>2.6755555559999999</v>
      </c>
      <c r="J57" t="s">
        <v>11</v>
      </c>
    </row>
    <row r="58" spans="1:10" x14ac:dyDescent="0.25">
      <c r="A58" t="s">
        <v>14</v>
      </c>
      <c r="B58">
        <v>2006</v>
      </c>
      <c r="C58">
        <v>781.34285709999995</v>
      </c>
      <c r="D58">
        <v>236.87</v>
      </c>
      <c r="E58">
        <v>50.325714290000001</v>
      </c>
      <c r="F58">
        <v>36.270000000000003</v>
      </c>
      <c r="G58">
        <v>27.444285709999999</v>
      </c>
      <c r="H58">
        <v>1818.135714</v>
      </c>
      <c r="I58">
        <v>2.331428571</v>
      </c>
      <c r="J58" t="s">
        <v>11</v>
      </c>
    </row>
    <row r="59" spans="1:10" x14ac:dyDescent="0.25">
      <c r="A59" t="s">
        <v>14</v>
      </c>
      <c r="B59">
        <v>2007</v>
      </c>
      <c r="C59">
        <v>642.85833330000003</v>
      </c>
      <c r="D59">
        <v>285.68166669999999</v>
      </c>
      <c r="E59">
        <v>52.52</v>
      </c>
      <c r="F59">
        <v>26.153333329999999</v>
      </c>
      <c r="G59">
        <v>17.376666669999999</v>
      </c>
      <c r="H59">
        <v>1863.853333</v>
      </c>
      <c r="I59">
        <v>2.2116666669999998</v>
      </c>
      <c r="J59" t="s">
        <v>11</v>
      </c>
    </row>
    <row r="60" spans="1:10" x14ac:dyDescent="0.25">
      <c r="A60" t="s">
        <v>14</v>
      </c>
      <c r="B60">
        <v>2008</v>
      </c>
      <c r="C60">
        <v>665.50166669999999</v>
      </c>
      <c r="D60">
        <v>273.875</v>
      </c>
      <c r="E60">
        <v>42.34</v>
      </c>
      <c r="F60">
        <v>28.61333333</v>
      </c>
      <c r="G60">
        <v>23.34333333</v>
      </c>
      <c r="H60">
        <v>1356.3066670000001</v>
      </c>
      <c r="I60">
        <v>2.8533333330000001</v>
      </c>
      <c r="J60" t="s">
        <v>11</v>
      </c>
    </row>
    <row r="61" spans="1:10" x14ac:dyDescent="0.25">
      <c r="A61" t="s">
        <v>14</v>
      </c>
      <c r="B61">
        <v>2009</v>
      </c>
      <c r="C61">
        <v>498.70666670000003</v>
      </c>
      <c r="D61">
        <v>278.94555559999998</v>
      </c>
      <c r="E61">
        <v>53.11</v>
      </c>
      <c r="F61">
        <v>27.856666669999999</v>
      </c>
      <c r="G61">
        <v>26.012222220000002</v>
      </c>
      <c r="H61">
        <v>1459.541111</v>
      </c>
      <c r="I61">
        <v>2.817777778</v>
      </c>
      <c r="J61" t="s">
        <v>11</v>
      </c>
    </row>
    <row r="62" spans="1:10" x14ac:dyDescent="0.25">
      <c r="A62" t="s">
        <v>14</v>
      </c>
      <c r="B62">
        <v>2010</v>
      </c>
      <c r="C62">
        <v>337.03666670000001</v>
      </c>
      <c r="D62">
        <v>230.10777780000001</v>
      </c>
      <c r="E62">
        <v>55.208888889999997</v>
      </c>
      <c r="F62">
        <v>21.985555560000002</v>
      </c>
      <c r="G62">
        <v>25.16111111</v>
      </c>
      <c r="H62">
        <v>1933.6722219999999</v>
      </c>
      <c r="I62">
        <v>1.643333333</v>
      </c>
      <c r="J62" t="s">
        <v>11</v>
      </c>
    </row>
    <row r="63" spans="1:10" x14ac:dyDescent="0.25">
      <c r="A63" t="s">
        <v>14</v>
      </c>
      <c r="B63">
        <v>2011</v>
      </c>
      <c r="C63">
        <v>483.58249999999998</v>
      </c>
      <c r="D63">
        <v>266.68333330000002</v>
      </c>
      <c r="E63">
        <v>47.615000000000002</v>
      </c>
      <c r="F63">
        <v>25.46833333</v>
      </c>
      <c r="G63">
        <v>28.004999999999999</v>
      </c>
      <c r="H63">
        <v>1403.9416670000001</v>
      </c>
      <c r="I63">
        <v>2.7791666670000001</v>
      </c>
      <c r="J63" t="s">
        <v>11</v>
      </c>
    </row>
    <row r="64" spans="1:10" x14ac:dyDescent="0.25">
      <c r="A64" t="s">
        <v>14</v>
      </c>
      <c r="B64">
        <v>2012</v>
      </c>
      <c r="C64">
        <v>469.02499999999998</v>
      </c>
      <c r="D64">
        <v>331.63749999999999</v>
      </c>
      <c r="E64">
        <v>36.372500000000002</v>
      </c>
      <c r="F64">
        <v>22.017499999999998</v>
      </c>
      <c r="G64">
        <v>25.947500000000002</v>
      </c>
      <c r="H64">
        <v>1650.9349999999999</v>
      </c>
      <c r="I64">
        <v>2.2374999999999998</v>
      </c>
      <c r="J64" t="s">
        <v>12</v>
      </c>
    </row>
    <row r="65" spans="1:10" x14ac:dyDescent="0.25">
      <c r="A65" t="s">
        <v>14</v>
      </c>
      <c r="B65">
        <v>2013</v>
      </c>
      <c r="C65">
        <v>562.74125000000004</v>
      </c>
      <c r="D65">
        <v>197.11875000000001</v>
      </c>
      <c r="E65">
        <v>47.295000000000002</v>
      </c>
      <c r="F65">
        <v>18.057500000000001</v>
      </c>
      <c r="G65">
        <v>27.916250000000002</v>
      </c>
      <c r="H65">
        <v>1699.5787499999999</v>
      </c>
      <c r="I65">
        <v>2.7837499999999999</v>
      </c>
      <c r="J65" t="s">
        <v>15</v>
      </c>
    </row>
    <row r="66" spans="1:10" x14ac:dyDescent="0.25">
      <c r="A66" t="s">
        <v>14</v>
      </c>
      <c r="B66">
        <v>2014</v>
      </c>
      <c r="C66">
        <v>559.11199999999997</v>
      </c>
      <c r="D66">
        <v>317.39400000000001</v>
      </c>
      <c r="E66">
        <v>58.716000000000001</v>
      </c>
      <c r="F66">
        <v>28.481333329999998</v>
      </c>
      <c r="G66">
        <v>27.96533333</v>
      </c>
      <c r="H66">
        <v>1647.2653330000001</v>
      </c>
      <c r="I66">
        <v>2.2713333329999998</v>
      </c>
      <c r="J66" t="s">
        <v>12</v>
      </c>
    </row>
    <row r="67" spans="1:10" x14ac:dyDescent="0.25">
      <c r="A67" t="s">
        <v>14</v>
      </c>
      <c r="B67">
        <v>2015</v>
      </c>
      <c r="C67">
        <v>574.58153849999997</v>
      </c>
      <c r="D67">
        <v>348.33846149999999</v>
      </c>
      <c r="E67">
        <v>47.073076919999998</v>
      </c>
      <c r="F67">
        <v>33.684615379999997</v>
      </c>
      <c r="G67">
        <v>22.42307692</v>
      </c>
      <c r="H67">
        <v>1569.4330769999999</v>
      </c>
      <c r="I67">
        <v>1.808461538</v>
      </c>
      <c r="J67" t="s">
        <v>12</v>
      </c>
    </row>
    <row r="68" spans="1:10" x14ac:dyDescent="0.25">
      <c r="A68" t="s">
        <v>14</v>
      </c>
      <c r="B68">
        <v>2016</v>
      </c>
      <c r="C68">
        <v>501.79230769999998</v>
      </c>
      <c r="D68">
        <v>289.30461539999999</v>
      </c>
      <c r="E68">
        <v>50.249230769999997</v>
      </c>
      <c r="F68">
        <v>28.603076919999999</v>
      </c>
      <c r="G68">
        <v>27.306923080000001</v>
      </c>
      <c r="H68">
        <v>2017.038462</v>
      </c>
      <c r="I68">
        <v>3.0084615380000002</v>
      </c>
      <c r="J68" t="s">
        <v>11</v>
      </c>
    </row>
    <row r="69" spans="1:10" x14ac:dyDescent="0.25">
      <c r="A69" t="s">
        <v>14</v>
      </c>
      <c r="B69">
        <v>2017</v>
      </c>
      <c r="C69">
        <v>574.56299999999999</v>
      </c>
      <c r="D69">
        <v>292.3</v>
      </c>
      <c r="E69">
        <v>45.356999999999999</v>
      </c>
      <c r="F69">
        <v>27.285</v>
      </c>
      <c r="G69">
        <v>26.175999999999998</v>
      </c>
      <c r="H69">
        <v>1338.94</v>
      </c>
      <c r="I69">
        <v>2.1890000000000001</v>
      </c>
      <c r="J69" t="s">
        <v>11</v>
      </c>
    </row>
    <row r="70" spans="1:10" x14ac:dyDescent="0.25">
      <c r="A70" t="s">
        <v>14</v>
      </c>
      <c r="B70">
        <v>2018</v>
      </c>
      <c r="C70">
        <v>287.15666670000002</v>
      </c>
      <c r="D70">
        <v>248.6733333</v>
      </c>
      <c r="E70">
        <v>42.208333330000002</v>
      </c>
      <c r="F70">
        <v>26.998333330000001</v>
      </c>
      <c r="G70">
        <v>27.89</v>
      </c>
      <c r="H70">
        <v>1074.9349999999999</v>
      </c>
      <c r="I70">
        <v>2.69</v>
      </c>
      <c r="J70" t="s">
        <v>11</v>
      </c>
    </row>
    <row r="71" spans="1:10" x14ac:dyDescent="0.25">
      <c r="A71" t="s">
        <v>14</v>
      </c>
      <c r="B71">
        <v>2019</v>
      </c>
      <c r="C71">
        <v>497.8663636</v>
      </c>
      <c r="D71">
        <v>228.56272730000001</v>
      </c>
      <c r="E71">
        <v>60.828181819999998</v>
      </c>
      <c r="F71">
        <v>25.43727273</v>
      </c>
      <c r="G71">
        <v>24.237272730000001</v>
      </c>
      <c r="H71">
        <v>1452.0163640000001</v>
      </c>
      <c r="I71">
        <v>2.8790909089999999</v>
      </c>
      <c r="J71" t="s">
        <v>11</v>
      </c>
    </row>
    <row r="72" spans="1:10" x14ac:dyDescent="0.25">
      <c r="A72" t="s">
        <v>14</v>
      </c>
      <c r="B72">
        <v>2020</v>
      </c>
      <c r="C72">
        <v>553.05411760000004</v>
      </c>
      <c r="D72">
        <v>261.3735294</v>
      </c>
      <c r="E72">
        <v>47.095294119999998</v>
      </c>
      <c r="F72">
        <v>29.153529410000001</v>
      </c>
      <c r="G72">
        <v>27.908823529999999</v>
      </c>
      <c r="H72">
        <v>1771.8147059999999</v>
      </c>
      <c r="I72">
        <v>2.6535294120000001</v>
      </c>
      <c r="J72" t="s">
        <v>11</v>
      </c>
    </row>
    <row r="73" spans="1:10" x14ac:dyDescent="0.25">
      <c r="A73" t="s">
        <v>14</v>
      </c>
      <c r="B73">
        <v>2021</v>
      </c>
      <c r="C73">
        <v>457.14</v>
      </c>
      <c r="D73">
        <v>264.78125</v>
      </c>
      <c r="E73">
        <v>45.7425</v>
      </c>
      <c r="F73">
        <v>27.22</v>
      </c>
      <c r="G73">
        <v>21.182500000000001</v>
      </c>
      <c r="H73">
        <v>1620.6937499999999</v>
      </c>
      <c r="I73">
        <v>2.2787500000000001</v>
      </c>
      <c r="J73" t="s">
        <v>11</v>
      </c>
    </row>
    <row r="74" spans="1:10" x14ac:dyDescent="0.25">
      <c r="A74" t="s">
        <v>14</v>
      </c>
      <c r="B74">
        <v>2022</v>
      </c>
      <c r="C74">
        <v>417.74799999999999</v>
      </c>
      <c r="D74">
        <v>289.60500000000002</v>
      </c>
      <c r="E74">
        <v>53.948999999999998</v>
      </c>
      <c r="F74">
        <v>22.364000000000001</v>
      </c>
      <c r="G74">
        <v>24.084</v>
      </c>
      <c r="H74">
        <v>1606.203</v>
      </c>
      <c r="I74">
        <v>2.56</v>
      </c>
      <c r="J74" t="s">
        <v>11</v>
      </c>
    </row>
    <row r="75" spans="1:10" x14ac:dyDescent="0.25">
      <c r="A75" t="s">
        <v>14</v>
      </c>
      <c r="B75">
        <v>2023</v>
      </c>
      <c r="C75">
        <v>688.23249999999996</v>
      </c>
      <c r="D75">
        <v>336.95875000000001</v>
      </c>
      <c r="E75">
        <v>39.914999999999999</v>
      </c>
      <c r="F75">
        <v>21.912500000000001</v>
      </c>
      <c r="G75">
        <v>26.521249999999998</v>
      </c>
      <c r="H75">
        <v>1420.5462500000001</v>
      </c>
      <c r="I75">
        <v>1.8287500000000001</v>
      </c>
      <c r="J75" t="s">
        <v>12</v>
      </c>
    </row>
    <row r="76" spans="1:10" x14ac:dyDescent="0.25">
      <c r="A76" t="s">
        <v>14</v>
      </c>
      <c r="B76">
        <v>2024</v>
      </c>
      <c r="C76">
        <v>417.18875000000003</v>
      </c>
      <c r="D76">
        <v>309.9975</v>
      </c>
      <c r="E76">
        <v>55.47</v>
      </c>
      <c r="F76">
        <v>18.356249999999999</v>
      </c>
      <c r="G76">
        <v>23.858750000000001</v>
      </c>
      <c r="H76">
        <v>1354.0525</v>
      </c>
      <c r="I76">
        <v>2.8725000000000001</v>
      </c>
      <c r="J76" t="s">
        <v>12</v>
      </c>
    </row>
    <row r="77" spans="1:10" x14ac:dyDescent="0.25">
      <c r="A77" t="s">
        <v>16</v>
      </c>
      <c r="B77">
        <v>2000</v>
      </c>
      <c r="C77">
        <v>382.51461540000003</v>
      </c>
      <c r="D77">
        <v>236.62</v>
      </c>
      <c r="E77">
        <v>51.286153849999998</v>
      </c>
      <c r="F77">
        <v>21.674615379999999</v>
      </c>
      <c r="G77">
        <v>26.309230769999999</v>
      </c>
      <c r="H77">
        <v>1423.0984619999999</v>
      </c>
      <c r="I77">
        <v>2.2738461540000001</v>
      </c>
      <c r="J77" t="s">
        <v>11</v>
      </c>
    </row>
    <row r="78" spans="1:10" x14ac:dyDescent="0.25">
      <c r="A78" t="s">
        <v>16</v>
      </c>
      <c r="B78">
        <v>2001</v>
      </c>
      <c r="C78">
        <v>336.83111109999999</v>
      </c>
      <c r="D78">
        <v>360.40111109999998</v>
      </c>
      <c r="E78">
        <v>49.65888889</v>
      </c>
      <c r="F78">
        <v>29.447777779999999</v>
      </c>
      <c r="G78">
        <v>24.853333330000002</v>
      </c>
      <c r="H78">
        <v>1244.823333</v>
      </c>
      <c r="I78">
        <v>2.1344444440000001</v>
      </c>
      <c r="J78" t="s">
        <v>12</v>
      </c>
    </row>
    <row r="79" spans="1:10" x14ac:dyDescent="0.25">
      <c r="A79" t="s">
        <v>16</v>
      </c>
      <c r="B79">
        <v>2002</v>
      </c>
      <c r="C79">
        <v>523.43399999999997</v>
      </c>
      <c r="D79">
        <v>315.01</v>
      </c>
      <c r="E79">
        <v>56.213999999999999</v>
      </c>
      <c r="F79">
        <v>27.199000000000002</v>
      </c>
      <c r="G79">
        <v>24.177</v>
      </c>
      <c r="H79">
        <v>1902.6769999999999</v>
      </c>
      <c r="I79">
        <v>3.3980000000000001</v>
      </c>
      <c r="J79" t="s">
        <v>12</v>
      </c>
    </row>
    <row r="80" spans="1:10" x14ac:dyDescent="0.25">
      <c r="A80" t="s">
        <v>16</v>
      </c>
      <c r="B80">
        <v>2003</v>
      </c>
      <c r="C80">
        <v>346.32428570000002</v>
      </c>
      <c r="D80">
        <v>196.96</v>
      </c>
      <c r="E80">
        <v>49.388571429999999</v>
      </c>
      <c r="F80">
        <v>34.522857139999999</v>
      </c>
      <c r="G80">
        <v>27.114285710000001</v>
      </c>
      <c r="H80">
        <v>1343.8528570000001</v>
      </c>
      <c r="I80">
        <v>2.9885714289999998</v>
      </c>
      <c r="J80" t="s">
        <v>15</v>
      </c>
    </row>
    <row r="81" spans="1:10" x14ac:dyDescent="0.25">
      <c r="A81" t="s">
        <v>16</v>
      </c>
      <c r="B81">
        <v>2004</v>
      </c>
      <c r="C81">
        <v>397.04500000000002</v>
      </c>
      <c r="D81">
        <v>363.61200000000002</v>
      </c>
      <c r="E81">
        <v>50.918999999999997</v>
      </c>
      <c r="F81">
        <v>35.19</v>
      </c>
      <c r="G81">
        <v>20.716999999999999</v>
      </c>
      <c r="H81">
        <v>1820.441</v>
      </c>
      <c r="I81">
        <v>2.4590000000000001</v>
      </c>
      <c r="J81" t="s">
        <v>12</v>
      </c>
    </row>
    <row r="82" spans="1:10" x14ac:dyDescent="0.25">
      <c r="A82" t="s">
        <v>16</v>
      </c>
      <c r="B82">
        <v>2005</v>
      </c>
      <c r="C82">
        <v>511.83199999999999</v>
      </c>
      <c r="D82">
        <v>223.71199999999999</v>
      </c>
      <c r="E82">
        <v>46.746000000000002</v>
      </c>
      <c r="F82">
        <v>29.47</v>
      </c>
      <c r="G82">
        <v>21.277999999999999</v>
      </c>
      <c r="H82">
        <v>1606.15</v>
      </c>
      <c r="I82">
        <v>3.9279999999999999</v>
      </c>
      <c r="J82" t="s">
        <v>11</v>
      </c>
    </row>
    <row r="83" spans="1:10" x14ac:dyDescent="0.25">
      <c r="A83" t="s">
        <v>16</v>
      </c>
      <c r="B83">
        <v>2006</v>
      </c>
      <c r="C83">
        <v>748.42333329999997</v>
      </c>
      <c r="D83">
        <v>319.71666670000002</v>
      </c>
      <c r="E83">
        <v>55.503333329999997</v>
      </c>
      <c r="F83">
        <v>43.583333330000002</v>
      </c>
      <c r="G83">
        <v>21.826666670000002</v>
      </c>
      <c r="H83">
        <v>1202.826667</v>
      </c>
      <c r="I83">
        <v>2.54</v>
      </c>
      <c r="J83" t="s">
        <v>12</v>
      </c>
    </row>
    <row r="84" spans="1:10" x14ac:dyDescent="0.25">
      <c r="A84" t="s">
        <v>16</v>
      </c>
      <c r="B84">
        <v>2007</v>
      </c>
      <c r="C84">
        <v>572.60666670000001</v>
      </c>
      <c r="D84">
        <v>270.12777779999999</v>
      </c>
      <c r="E84">
        <v>49.506666670000001</v>
      </c>
      <c r="F84">
        <v>28.005555560000001</v>
      </c>
      <c r="G84">
        <v>23.99555556</v>
      </c>
      <c r="H84">
        <v>1688.9844439999999</v>
      </c>
      <c r="I84">
        <v>1.99</v>
      </c>
      <c r="J84" t="s">
        <v>11</v>
      </c>
    </row>
    <row r="85" spans="1:10" x14ac:dyDescent="0.25">
      <c r="A85" t="s">
        <v>16</v>
      </c>
      <c r="B85">
        <v>2008</v>
      </c>
      <c r="C85">
        <v>522.77428569999995</v>
      </c>
      <c r="D85">
        <v>236.3428571</v>
      </c>
      <c r="E85">
        <v>42.838571430000002</v>
      </c>
      <c r="F85">
        <v>30.792857139999999</v>
      </c>
      <c r="G85">
        <v>21.55285714</v>
      </c>
      <c r="H85">
        <v>1010.11</v>
      </c>
      <c r="I85">
        <v>3.74</v>
      </c>
      <c r="J85" t="s">
        <v>11</v>
      </c>
    </row>
    <row r="86" spans="1:10" x14ac:dyDescent="0.25">
      <c r="A86" t="s">
        <v>16</v>
      </c>
      <c r="B86">
        <v>2009</v>
      </c>
      <c r="C86">
        <v>361.42714289999998</v>
      </c>
      <c r="D86">
        <v>220.7835714</v>
      </c>
      <c r="E86">
        <v>45.11</v>
      </c>
      <c r="F86">
        <v>27.536428570000002</v>
      </c>
      <c r="G86">
        <v>25.856428569999999</v>
      </c>
      <c r="H86">
        <v>1851.837143</v>
      </c>
      <c r="I86">
        <v>2.9935714290000002</v>
      </c>
      <c r="J86" t="s">
        <v>11</v>
      </c>
    </row>
    <row r="87" spans="1:10" x14ac:dyDescent="0.25">
      <c r="A87" t="s">
        <v>16</v>
      </c>
      <c r="B87">
        <v>2010</v>
      </c>
      <c r="C87">
        <v>532.35</v>
      </c>
      <c r="D87">
        <v>218.36875000000001</v>
      </c>
      <c r="E87">
        <v>54.685000000000002</v>
      </c>
      <c r="F87">
        <v>31.305</v>
      </c>
      <c r="G87">
        <v>26.127500000000001</v>
      </c>
      <c r="H87">
        <v>1776.9412500000001</v>
      </c>
      <c r="I87">
        <v>3.1825000000000001</v>
      </c>
      <c r="J87" t="s">
        <v>11</v>
      </c>
    </row>
    <row r="88" spans="1:10" x14ac:dyDescent="0.25">
      <c r="A88" t="s">
        <v>16</v>
      </c>
      <c r="B88">
        <v>2011</v>
      </c>
      <c r="C88">
        <v>538.93133330000001</v>
      </c>
      <c r="D88">
        <v>333.43266670000003</v>
      </c>
      <c r="E88">
        <v>57.003333329999997</v>
      </c>
      <c r="F88">
        <v>25.74</v>
      </c>
      <c r="G88">
        <v>25.190666669999999</v>
      </c>
      <c r="H88">
        <v>1949.646667</v>
      </c>
      <c r="I88">
        <v>2.6313333330000002</v>
      </c>
      <c r="J88" t="s">
        <v>12</v>
      </c>
    </row>
    <row r="89" spans="1:10" x14ac:dyDescent="0.25">
      <c r="A89" t="s">
        <v>16</v>
      </c>
      <c r="B89">
        <v>2012</v>
      </c>
      <c r="C89">
        <v>478.68374999999997</v>
      </c>
      <c r="D89">
        <v>264.65375</v>
      </c>
      <c r="E89">
        <v>47.172499999999999</v>
      </c>
      <c r="F89">
        <v>30.057500000000001</v>
      </c>
      <c r="G89">
        <v>24.465</v>
      </c>
      <c r="H89">
        <v>1403.4862499999999</v>
      </c>
      <c r="I89">
        <v>2.9762499999999998</v>
      </c>
      <c r="J89" t="s">
        <v>11</v>
      </c>
    </row>
    <row r="90" spans="1:10" x14ac:dyDescent="0.25">
      <c r="A90" t="s">
        <v>16</v>
      </c>
      <c r="B90">
        <v>2013</v>
      </c>
      <c r="C90">
        <v>460.666</v>
      </c>
      <c r="D90">
        <v>140.28800000000001</v>
      </c>
      <c r="E90">
        <v>49.073999999999998</v>
      </c>
      <c r="F90">
        <v>38.573999999999998</v>
      </c>
      <c r="G90">
        <v>26.216000000000001</v>
      </c>
      <c r="H90">
        <v>1733.8320000000001</v>
      </c>
      <c r="I90">
        <v>2.532</v>
      </c>
      <c r="J90" t="s">
        <v>15</v>
      </c>
    </row>
    <row r="91" spans="1:10" x14ac:dyDescent="0.25">
      <c r="A91" t="s">
        <v>16</v>
      </c>
      <c r="B91">
        <v>2014</v>
      </c>
      <c r="C91">
        <v>563.88909090000004</v>
      </c>
      <c r="D91">
        <v>192.1927273</v>
      </c>
      <c r="E91">
        <v>42.297272730000003</v>
      </c>
      <c r="F91">
        <v>28.483636359999998</v>
      </c>
      <c r="G91">
        <v>23.934545450000002</v>
      </c>
      <c r="H91">
        <v>1622.126364</v>
      </c>
      <c r="I91">
        <v>3.2254545449999998</v>
      </c>
      <c r="J91" t="s">
        <v>15</v>
      </c>
    </row>
    <row r="92" spans="1:10" x14ac:dyDescent="0.25">
      <c r="A92" t="s">
        <v>16</v>
      </c>
      <c r="B92">
        <v>2015</v>
      </c>
      <c r="C92">
        <v>367.23200000000003</v>
      </c>
      <c r="D92">
        <v>318.07799999999997</v>
      </c>
      <c r="E92">
        <v>46.973999999999997</v>
      </c>
      <c r="F92">
        <v>27.834</v>
      </c>
      <c r="G92">
        <v>32.21</v>
      </c>
      <c r="H92">
        <v>1586.67</v>
      </c>
      <c r="I92">
        <v>4.1139999999999999</v>
      </c>
      <c r="J92" t="s">
        <v>12</v>
      </c>
    </row>
    <row r="93" spans="1:10" x14ac:dyDescent="0.25">
      <c r="A93" t="s">
        <v>16</v>
      </c>
      <c r="B93">
        <v>2016</v>
      </c>
      <c r="C93">
        <v>568.36210530000005</v>
      </c>
      <c r="D93">
        <v>255.06473679999999</v>
      </c>
      <c r="E93">
        <v>46.922631580000001</v>
      </c>
      <c r="F93">
        <v>23.71736842</v>
      </c>
      <c r="G93">
        <v>24.36210526</v>
      </c>
      <c r="H93">
        <v>1488.1415790000001</v>
      </c>
      <c r="I93">
        <v>2.4968421049999998</v>
      </c>
      <c r="J93" t="s">
        <v>11</v>
      </c>
    </row>
    <row r="94" spans="1:10" x14ac:dyDescent="0.25">
      <c r="A94" t="s">
        <v>16</v>
      </c>
      <c r="B94">
        <v>2017</v>
      </c>
      <c r="C94">
        <v>386.13666669999998</v>
      </c>
      <c r="D94">
        <v>181.94333330000001</v>
      </c>
      <c r="E94">
        <v>52.954999999999998</v>
      </c>
      <c r="F94">
        <v>34.026666669999997</v>
      </c>
      <c r="G94">
        <v>27.52</v>
      </c>
      <c r="H94">
        <v>2060.4516669999998</v>
      </c>
      <c r="I94">
        <v>2.68</v>
      </c>
      <c r="J94" t="s">
        <v>15</v>
      </c>
    </row>
    <row r="95" spans="1:10" x14ac:dyDescent="0.25">
      <c r="A95" t="s">
        <v>16</v>
      </c>
      <c r="B95">
        <v>2018</v>
      </c>
      <c r="C95">
        <v>563.83642859999998</v>
      </c>
      <c r="D95">
        <v>301.88142859999999</v>
      </c>
      <c r="E95">
        <v>50.548571430000003</v>
      </c>
      <c r="F95">
        <v>27.852142860000001</v>
      </c>
      <c r="G95">
        <v>23.120714289999999</v>
      </c>
      <c r="H95">
        <v>1431.243571</v>
      </c>
      <c r="I95">
        <v>2.6535714289999999</v>
      </c>
      <c r="J95" t="s">
        <v>12</v>
      </c>
    </row>
    <row r="96" spans="1:10" x14ac:dyDescent="0.25">
      <c r="A96" t="s">
        <v>16</v>
      </c>
      <c r="B96">
        <v>2019</v>
      </c>
      <c r="C96">
        <v>545.61428569999998</v>
      </c>
      <c r="D96">
        <v>330.01428570000002</v>
      </c>
      <c r="E96">
        <v>55.507142860000002</v>
      </c>
      <c r="F96">
        <v>26.14</v>
      </c>
      <c r="G96">
        <v>22.364285710000001</v>
      </c>
      <c r="H96">
        <v>1200.763571</v>
      </c>
      <c r="I96">
        <v>3.0021428569999999</v>
      </c>
      <c r="J96" t="s">
        <v>12</v>
      </c>
    </row>
    <row r="97" spans="1:10" x14ac:dyDescent="0.25">
      <c r="A97" t="s">
        <v>16</v>
      </c>
      <c r="B97">
        <v>2020</v>
      </c>
      <c r="C97">
        <v>445.13636359999998</v>
      </c>
      <c r="D97">
        <v>315.77363639999999</v>
      </c>
      <c r="E97">
        <v>46.306363640000001</v>
      </c>
      <c r="F97">
        <v>27.50545455</v>
      </c>
      <c r="G97">
        <v>25.50727273</v>
      </c>
      <c r="H97">
        <v>1165.987273</v>
      </c>
      <c r="I97">
        <v>2.3763636359999998</v>
      </c>
      <c r="J97" t="s">
        <v>12</v>
      </c>
    </row>
    <row r="98" spans="1:10" x14ac:dyDescent="0.25">
      <c r="A98" t="s">
        <v>16</v>
      </c>
      <c r="B98">
        <v>2021</v>
      </c>
      <c r="C98">
        <v>597.27846150000005</v>
      </c>
      <c r="D98">
        <v>277.49076919999999</v>
      </c>
      <c r="E98">
        <v>51.017692310000001</v>
      </c>
      <c r="F98">
        <v>29.445384619999999</v>
      </c>
      <c r="G98">
        <v>26.06384615</v>
      </c>
      <c r="H98">
        <v>1350.2861539999999</v>
      </c>
      <c r="I98">
        <v>2.098461538</v>
      </c>
      <c r="J98" t="s">
        <v>11</v>
      </c>
    </row>
    <row r="99" spans="1:10" x14ac:dyDescent="0.25">
      <c r="A99" t="s">
        <v>16</v>
      </c>
      <c r="B99">
        <v>2022</v>
      </c>
      <c r="C99">
        <v>470.68</v>
      </c>
      <c r="D99">
        <v>260.40333329999999</v>
      </c>
      <c r="E99">
        <v>53.52111111</v>
      </c>
      <c r="F99">
        <v>28.25</v>
      </c>
      <c r="G99">
        <v>22.12</v>
      </c>
      <c r="H99">
        <v>1277.8611109999999</v>
      </c>
      <c r="I99">
        <v>2.6411111109999998</v>
      </c>
      <c r="J99" t="s">
        <v>11</v>
      </c>
    </row>
    <row r="100" spans="1:10" x14ac:dyDescent="0.25">
      <c r="A100" t="s">
        <v>16</v>
      </c>
      <c r="B100">
        <v>2023</v>
      </c>
      <c r="C100">
        <v>653.70888890000003</v>
      </c>
      <c r="D100">
        <v>333.38888889999998</v>
      </c>
      <c r="E100">
        <v>50</v>
      </c>
      <c r="F100">
        <v>23.553333330000001</v>
      </c>
      <c r="G100">
        <v>26.952222219999999</v>
      </c>
      <c r="H100">
        <v>1161.6099999999999</v>
      </c>
      <c r="I100">
        <v>2.7855555559999998</v>
      </c>
      <c r="J100" t="s">
        <v>12</v>
      </c>
    </row>
    <row r="101" spans="1:10" x14ac:dyDescent="0.25">
      <c r="A101" t="s">
        <v>16</v>
      </c>
      <c r="B101">
        <v>2024</v>
      </c>
      <c r="C101">
        <v>476.97687500000001</v>
      </c>
      <c r="D101">
        <v>216.31125</v>
      </c>
      <c r="E101">
        <v>57.044375000000002</v>
      </c>
      <c r="F101">
        <v>26.726875</v>
      </c>
      <c r="G101">
        <v>26.4175</v>
      </c>
      <c r="H101">
        <v>1312.9393749999999</v>
      </c>
      <c r="I101">
        <v>3</v>
      </c>
      <c r="J101" t="s">
        <v>11</v>
      </c>
    </row>
    <row r="102" spans="1:10" x14ac:dyDescent="0.25">
      <c r="A102" t="s">
        <v>17</v>
      </c>
      <c r="B102">
        <v>2000</v>
      </c>
      <c r="C102">
        <v>681.02833329999999</v>
      </c>
      <c r="D102">
        <v>304.21499999999997</v>
      </c>
      <c r="E102">
        <v>59.854999999999997</v>
      </c>
      <c r="F102">
        <v>29.28833333</v>
      </c>
      <c r="G102">
        <v>31.201666670000002</v>
      </c>
      <c r="H102">
        <v>1162.198333</v>
      </c>
      <c r="I102">
        <v>2.95</v>
      </c>
      <c r="J102" t="s">
        <v>12</v>
      </c>
    </row>
    <row r="103" spans="1:10" x14ac:dyDescent="0.25">
      <c r="A103" t="s">
        <v>17</v>
      </c>
      <c r="B103">
        <v>2001</v>
      </c>
      <c r="C103">
        <v>611.80999999999995</v>
      </c>
      <c r="D103">
        <v>338.03125</v>
      </c>
      <c r="E103">
        <v>49.53</v>
      </c>
      <c r="F103">
        <v>27.508749999999999</v>
      </c>
      <c r="G103">
        <v>24.217500000000001</v>
      </c>
      <c r="H103">
        <v>2039.9124999999999</v>
      </c>
      <c r="I103">
        <v>2.9437500000000001</v>
      </c>
      <c r="J103" t="s">
        <v>12</v>
      </c>
    </row>
    <row r="104" spans="1:10" x14ac:dyDescent="0.25">
      <c r="A104" t="s">
        <v>17</v>
      </c>
      <c r="B104">
        <v>2002</v>
      </c>
      <c r="C104">
        <v>440.7053846</v>
      </c>
      <c r="D104">
        <v>236.36615380000001</v>
      </c>
      <c r="E104">
        <v>48.579230770000002</v>
      </c>
      <c r="F104">
        <v>30.26307692</v>
      </c>
      <c r="G104">
        <v>26.956923079999999</v>
      </c>
      <c r="H104">
        <v>1538.9546150000001</v>
      </c>
      <c r="I104">
        <v>2.8776923079999999</v>
      </c>
      <c r="J104" t="s">
        <v>11</v>
      </c>
    </row>
    <row r="105" spans="1:10" x14ac:dyDescent="0.25">
      <c r="A105" t="s">
        <v>17</v>
      </c>
      <c r="B105">
        <v>2003</v>
      </c>
      <c r="C105">
        <v>560.21749999999997</v>
      </c>
      <c r="D105">
        <v>254.99</v>
      </c>
      <c r="E105">
        <v>47.543750000000003</v>
      </c>
      <c r="F105">
        <v>30.157499999999999</v>
      </c>
      <c r="G105">
        <v>21.234999999999999</v>
      </c>
      <c r="H105">
        <v>1030.6175000000001</v>
      </c>
      <c r="I105">
        <v>2.7687499999999998</v>
      </c>
      <c r="J105" t="s">
        <v>11</v>
      </c>
    </row>
    <row r="106" spans="1:10" x14ac:dyDescent="0.25">
      <c r="A106" t="s">
        <v>17</v>
      </c>
      <c r="B106">
        <v>2004</v>
      </c>
      <c r="C106">
        <v>798.41800000000001</v>
      </c>
      <c r="D106">
        <v>332.61599999999999</v>
      </c>
      <c r="E106">
        <v>49.508000000000003</v>
      </c>
      <c r="F106">
        <v>32.036000000000001</v>
      </c>
      <c r="G106">
        <v>26.33</v>
      </c>
      <c r="H106">
        <v>1494.778</v>
      </c>
      <c r="I106">
        <v>2.802</v>
      </c>
      <c r="J106" t="s">
        <v>12</v>
      </c>
    </row>
    <row r="107" spans="1:10" x14ac:dyDescent="0.25">
      <c r="A107" t="s">
        <v>17</v>
      </c>
      <c r="B107">
        <v>2005</v>
      </c>
      <c r="C107">
        <v>561.71076919999996</v>
      </c>
      <c r="D107">
        <v>269.98923079999997</v>
      </c>
      <c r="E107">
        <v>60.505384620000001</v>
      </c>
      <c r="F107">
        <v>31.586153849999999</v>
      </c>
      <c r="G107">
        <v>24.893076919999999</v>
      </c>
      <c r="H107">
        <v>1564.781538</v>
      </c>
      <c r="I107">
        <v>2.1653846149999998</v>
      </c>
      <c r="J107" t="s">
        <v>11</v>
      </c>
    </row>
    <row r="108" spans="1:10" x14ac:dyDescent="0.25">
      <c r="A108" t="s">
        <v>17</v>
      </c>
      <c r="B108">
        <v>2006</v>
      </c>
      <c r="C108">
        <v>455.55454550000002</v>
      </c>
      <c r="D108">
        <v>296.59454549999998</v>
      </c>
      <c r="E108">
        <v>45.900909089999999</v>
      </c>
      <c r="F108">
        <v>23.29</v>
      </c>
      <c r="G108">
        <v>27.984545449999999</v>
      </c>
      <c r="H108">
        <v>1801.8881819999999</v>
      </c>
      <c r="I108">
        <v>2.9772727269999999</v>
      </c>
      <c r="J108" t="s">
        <v>11</v>
      </c>
    </row>
    <row r="109" spans="1:10" x14ac:dyDescent="0.25">
      <c r="A109" t="s">
        <v>17</v>
      </c>
      <c r="B109">
        <v>2007</v>
      </c>
      <c r="C109">
        <v>462.5009091</v>
      </c>
      <c r="D109">
        <v>266.9436364</v>
      </c>
      <c r="E109">
        <v>56.330909089999999</v>
      </c>
      <c r="F109">
        <v>23.106363640000001</v>
      </c>
      <c r="G109">
        <v>27.836363639999998</v>
      </c>
      <c r="H109">
        <v>1444.1763639999999</v>
      </c>
      <c r="I109">
        <v>3.0336363639999999</v>
      </c>
      <c r="J109" t="s">
        <v>11</v>
      </c>
    </row>
    <row r="110" spans="1:10" x14ac:dyDescent="0.25">
      <c r="A110" t="s">
        <v>17</v>
      </c>
      <c r="B110">
        <v>2008</v>
      </c>
      <c r="C110">
        <v>558.49454549999996</v>
      </c>
      <c r="D110">
        <v>299.82909089999998</v>
      </c>
      <c r="E110">
        <v>47.244545449999997</v>
      </c>
      <c r="F110">
        <v>24.148181820000001</v>
      </c>
      <c r="G110">
        <v>21.31909091</v>
      </c>
      <c r="H110">
        <v>1226.4509089999999</v>
      </c>
      <c r="I110">
        <v>3.6981818180000001</v>
      </c>
      <c r="J110" t="s">
        <v>11</v>
      </c>
    </row>
    <row r="111" spans="1:10" x14ac:dyDescent="0.25">
      <c r="A111" t="s">
        <v>17</v>
      </c>
      <c r="B111">
        <v>2009</v>
      </c>
      <c r="C111">
        <v>383.67857140000001</v>
      </c>
      <c r="D111">
        <v>247.7771429</v>
      </c>
      <c r="E111">
        <v>56.414285710000001</v>
      </c>
      <c r="F111">
        <v>27.73285714</v>
      </c>
      <c r="G111">
        <v>23.788571430000001</v>
      </c>
      <c r="H111">
        <v>1109.0328569999999</v>
      </c>
      <c r="I111">
        <v>3.081428571</v>
      </c>
      <c r="J111" t="s">
        <v>11</v>
      </c>
    </row>
    <row r="112" spans="1:10" x14ac:dyDescent="0.25">
      <c r="A112" t="s">
        <v>17</v>
      </c>
      <c r="B112">
        <v>2010</v>
      </c>
      <c r="C112">
        <v>557.65333329999999</v>
      </c>
      <c r="D112">
        <v>252.5793333</v>
      </c>
      <c r="E112">
        <v>54.531999999999996</v>
      </c>
      <c r="F112">
        <v>30.601333329999999</v>
      </c>
      <c r="G112">
        <v>26.175333330000001</v>
      </c>
      <c r="H112">
        <v>1626.742667</v>
      </c>
      <c r="I112">
        <v>1.5413333330000001</v>
      </c>
      <c r="J112" t="s">
        <v>11</v>
      </c>
    </row>
    <row r="113" spans="1:10" x14ac:dyDescent="0.25">
      <c r="A113" t="s">
        <v>17</v>
      </c>
      <c r="B113">
        <v>2011</v>
      </c>
      <c r="C113">
        <v>578.89</v>
      </c>
      <c r="D113">
        <v>262.36500000000001</v>
      </c>
      <c r="E113">
        <v>58.844999999999999</v>
      </c>
      <c r="F113">
        <v>30.852499999999999</v>
      </c>
      <c r="G113">
        <v>28.305</v>
      </c>
      <c r="H113">
        <v>1197.7874999999999</v>
      </c>
      <c r="I113">
        <v>2.2475000000000001</v>
      </c>
      <c r="J113" t="s">
        <v>11</v>
      </c>
    </row>
    <row r="114" spans="1:10" x14ac:dyDescent="0.25">
      <c r="A114" t="s">
        <v>17</v>
      </c>
      <c r="B114">
        <v>2012</v>
      </c>
      <c r="C114">
        <v>542.62300000000005</v>
      </c>
      <c r="D114">
        <v>299.20600000000002</v>
      </c>
      <c r="E114">
        <v>48.454000000000001</v>
      </c>
      <c r="F114">
        <v>27.471</v>
      </c>
      <c r="G114">
        <v>19.248999999999999</v>
      </c>
      <c r="H114">
        <v>1929.2260000000001</v>
      </c>
      <c r="I114">
        <v>2.306</v>
      </c>
      <c r="J114" t="s">
        <v>11</v>
      </c>
    </row>
    <row r="115" spans="1:10" x14ac:dyDescent="0.25">
      <c r="A115" t="s">
        <v>17</v>
      </c>
      <c r="B115">
        <v>2013</v>
      </c>
      <c r="C115">
        <v>543.57000000000005</v>
      </c>
      <c r="D115">
        <v>261.19142859999999</v>
      </c>
      <c r="E115">
        <v>53.804285710000002</v>
      </c>
      <c r="F115">
        <v>25.29</v>
      </c>
      <c r="G115">
        <v>24.468571430000001</v>
      </c>
      <c r="H115">
        <v>1088.364286</v>
      </c>
      <c r="I115">
        <v>1.625714286</v>
      </c>
      <c r="J115" t="s">
        <v>11</v>
      </c>
    </row>
    <row r="116" spans="1:10" x14ac:dyDescent="0.25">
      <c r="A116" t="s">
        <v>17</v>
      </c>
      <c r="B116">
        <v>2014</v>
      </c>
      <c r="C116">
        <v>624.31555560000004</v>
      </c>
      <c r="D116">
        <v>288.23222220000002</v>
      </c>
      <c r="E116">
        <v>55.653333330000002</v>
      </c>
      <c r="F116">
        <v>28.84222222</v>
      </c>
      <c r="G116">
        <v>26.511111110000002</v>
      </c>
      <c r="H116">
        <v>1302.8477780000001</v>
      </c>
      <c r="I116">
        <v>2.2833333329999999</v>
      </c>
      <c r="J116" t="s">
        <v>11</v>
      </c>
    </row>
    <row r="117" spans="1:10" x14ac:dyDescent="0.25">
      <c r="A117" t="s">
        <v>17</v>
      </c>
      <c r="B117">
        <v>2015</v>
      </c>
      <c r="C117">
        <v>347.46777780000002</v>
      </c>
      <c r="D117">
        <v>182.43888889999999</v>
      </c>
      <c r="E117">
        <v>47.64</v>
      </c>
      <c r="F117">
        <v>26.651111109999999</v>
      </c>
      <c r="G117">
        <v>25.848888890000001</v>
      </c>
      <c r="H117">
        <v>1616.3888890000001</v>
      </c>
      <c r="I117">
        <v>3.2066666669999999</v>
      </c>
      <c r="J117" t="s">
        <v>15</v>
      </c>
    </row>
    <row r="118" spans="1:10" x14ac:dyDescent="0.25">
      <c r="A118" t="s">
        <v>17</v>
      </c>
      <c r="B118">
        <v>2016</v>
      </c>
      <c r="C118">
        <v>524.20933330000003</v>
      </c>
      <c r="D118">
        <v>289.5946667</v>
      </c>
      <c r="E118">
        <v>51.647333330000002</v>
      </c>
      <c r="F118">
        <v>32.768000000000001</v>
      </c>
      <c r="G118">
        <v>28.114666669999998</v>
      </c>
      <c r="H118">
        <v>1755.5366670000001</v>
      </c>
      <c r="I118">
        <v>3.0659999999999998</v>
      </c>
      <c r="J118" t="s">
        <v>11</v>
      </c>
    </row>
    <row r="119" spans="1:10" x14ac:dyDescent="0.25">
      <c r="A119" t="s">
        <v>17</v>
      </c>
      <c r="B119">
        <v>2017</v>
      </c>
      <c r="C119">
        <v>525.19285709999997</v>
      </c>
      <c r="D119">
        <v>299.98500000000001</v>
      </c>
      <c r="E119">
        <v>58.734285710000002</v>
      </c>
      <c r="F119">
        <v>30.683571430000001</v>
      </c>
      <c r="G119">
        <v>28.442142860000001</v>
      </c>
      <c r="H119">
        <v>2011.7107140000001</v>
      </c>
      <c r="I119">
        <v>2.1364285710000002</v>
      </c>
      <c r="J119" t="s">
        <v>11</v>
      </c>
    </row>
    <row r="120" spans="1:10" x14ac:dyDescent="0.25">
      <c r="A120" t="s">
        <v>17</v>
      </c>
      <c r="B120">
        <v>2018</v>
      </c>
      <c r="C120">
        <v>510.15833329999998</v>
      </c>
      <c r="D120">
        <v>333.84249999999997</v>
      </c>
      <c r="E120">
        <v>54.652500000000003</v>
      </c>
      <c r="F120">
        <v>25.302499999999998</v>
      </c>
      <c r="G120">
        <v>25.255833330000002</v>
      </c>
      <c r="H120">
        <v>1725.075</v>
      </c>
      <c r="I120">
        <v>2.1758333329999999</v>
      </c>
      <c r="J120" t="s">
        <v>12</v>
      </c>
    </row>
    <row r="121" spans="1:10" x14ac:dyDescent="0.25">
      <c r="A121" t="s">
        <v>17</v>
      </c>
      <c r="B121">
        <v>2019</v>
      </c>
      <c r="C121">
        <v>607.92222219999996</v>
      </c>
      <c r="D121">
        <v>291.74777779999999</v>
      </c>
      <c r="E121">
        <v>56.238888889999998</v>
      </c>
      <c r="F121">
        <v>26.22666667</v>
      </c>
      <c r="G121">
        <v>28.196666669999999</v>
      </c>
      <c r="H121">
        <v>1634.894444</v>
      </c>
      <c r="I121">
        <v>2.5499999999999998</v>
      </c>
      <c r="J121" t="s">
        <v>11</v>
      </c>
    </row>
    <row r="122" spans="1:10" x14ac:dyDescent="0.25">
      <c r="A122" t="s">
        <v>17</v>
      </c>
      <c r="B122">
        <v>2020</v>
      </c>
      <c r="C122">
        <v>415.48142860000002</v>
      </c>
      <c r="D122">
        <v>246.52785710000001</v>
      </c>
      <c r="E122">
        <v>47.833571429999999</v>
      </c>
      <c r="F122">
        <v>28.225714289999999</v>
      </c>
      <c r="G122">
        <v>23.762142860000001</v>
      </c>
      <c r="H122">
        <v>1845.0614290000001</v>
      </c>
      <c r="I122">
        <v>2.253571429</v>
      </c>
      <c r="J122" t="s">
        <v>11</v>
      </c>
    </row>
    <row r="123" spans="1:10" x14ac:dyDescent="0.25">
      <c r="A123" t="s">
        <v>17</v>
      </c>
      <c r="B123">
        <v>2021</v>
      </c>
      <c r="C123">
        <v>436.1333333</v>
      </c>
      <c r="D123">
        <v>261.13444440000001</v>
      </c>
      <c r="E123">
        <v>40.216666670000002</v>
      </c>
      <c r="F123">
        <v>25.81</v>
      </c>
      <c r="G123">
        <v>26.011111110000002</v>
      </c>
      <c r="H123">
        <v>1528.583333</v>
      </c>
      <c r="I123">
        <v>2.4822222219999999</v>
      </c>
      <c r="J123" t="s">
        <v>11</v>
      </c>
    </row>
    <row r="124" spans="1:10" x14ac:dyDescent="0.25">
      <c r="A124" t="s">
        <v>17</v>
      </c>
      <c r="B124">
        <v>2022</v>
      </c>
      <c r="C124">
        <v>528.54700000000003</v>
      </c>
      <c r="D124">
        <v>273.90199999999999</v>
      </c>
      <c r="E124">
        <v>46.55</v>
      </c>
      <c r="F124">
        <v>26.053999999999998</v>
      </c>
      <c r="G124">
        <v>22.024000000000001</v>
      </c>
      <c r="H124">
        <v>1786.2070000000001</v>
      </c>
      <c r="I124">
        <v>2.0779999999999998</v>
      </c>
      <c r="J124" t="s">
        <v>11</v>
      </c>
    </row>
    <row r="125" spans="1:10" x14ac:dyDescent="0.25">
      <c r="A125" t="s">
        <v>17</v>
      </c>
      <c r="B125">
        <v>2023</v>
      </c>
      <c r="C125">
        <v>369.98899999999998</v>
      </c>
      <c r="D125">
        <v>364.44499999999999</v>
      </c>
      <c r="E125">
        <v>45.533000000000001</v>
      </c>
      <c r="F125">
        <v>26.864000000000001</v>
      </c>
      <c r="G125">
        <v>23.03</v>
      </c>
      <c r="H125">
        <v>1682.6389999999999</v>
      </c>
      <c r="I125">
        <v>2.3610000000000002</v>
      </c>
      <c r="J125" t="s">
        <v>12</v>
      </c>
    </row>
    <row r="126" spans="1:10" x14ac:dyDescent="0.25">
      <c r="A126" t="s">
        <v>17</v>
      </c>
      <c r="B126">
        <v>2024</v>
      </c>
      <c r="C126">
        <v>507.32499999999999</v>
      </c>
      <c r="D126">
        <v>253.1391667</v>
      </c>
      <c r="E126">
        <v>50.887500000000003</v>
      </c>
      <c r="F126">
        <v>25.61</v>
      </c>
      <c r="G126">
        <v>26.778333329999999</v>
      </c>
      <c r="H126">
        <v>1796.5058329999999</v>
      </c>
      <c r="I126">
        <v>2.5125000000000002</v>
      </c>
      <c r="J126" t="s">
        <v>11</v>
      </c>
    </row>
    <row r="127" spans="1:10" x14ac:dyDescent="0.25">
      <c r="A127" t="s">
        <v>18</v>
      </c>
      <c r="B127">
        <v>2000</v>
      </c>
      <c r="C127">
        <v>488.93374999999997</v>
      </c>
      <c r="D127">
        <v>220.88249999999999</v>
      </c>
      <c r="E127">
        <v>56.371250000000003</v>
      </c>
      <c r="F127">
        <v>21.842500000000001</v>
      </c>
      <c r="G127">
        <v>25.03</v>
      </c>
      <c r="H127">
        <v>1408.97</v>
      </c>
      <c r="I127">
        <v>3.0187499999999998</v>
      </c>
      <c r="J127" t="s">
        <v>11</v>
      </c>
    </row>
    <row r="128" spans="1:10" x14ac:dyDescent="0.25">
      <c r="A128" t="s">
        <v>18</v>
      </c>
      <c r="B128">
        <v>2001</v>
      </c>
      <c r="C128">
        <v>521.49833330000001</v>
      </c>
      <c r="D128">
        <v>265.45666670000003</v>
      </c>
      <c r="E128">
        <v>45.486666669999998</v>
      </c>
      <c r="F128">
        <v>24.46083333</v>
      </c>
      <c r="G128">
        <v>26.883333329999999</v>
      </c>
      <c r="H128">
        <v>1611.866667</v>
      </c>
      <c r="I128">
        <v>2.4308333329999998</v>
      </c>
      <c r="J128" t="s">
        <v>11</v>
      </c>
    </row>
    <row r="129" spans="1:10" x14ac:dyDescent="0.25">
      <c r="A129" t="s">
        <v>18</v>
      </c>
      <c r="B129">
        <v>2002</v>
      </c>
      <c r="C129">
        <v>559.85888890000001</v>
      </c>
      <c r="D129">
        <v>271.68222220000001</v>
      </c>
      <c r="E129">
        <v>43.044444439999999</v>
      </c>
      <c r="F129">
        <v>29.07111111</v>
      </c>
      <c r="G129">
        <v>27.582222219999998</v>
      </c>
      <c r="H129">
        <v>1759.964444</v>
      </c>
      <c r="I129">
        <v>2.8988888890000002</v>
      </c>
      <c r="J129" t="s">
        <v>11</v>
      </c>
    </row>
    <row r="130" spans="1:10" x14ac:dyDescent="0.25">
      <c r="A130" t="s">
        <v>18</v>
      </c>
      <c r="B130">
        <v>2003</v>
      </c>
      <c r="C130">
        <v>496.74571429999997</v>
      </c>
      <c r="D130">
        <v>355.38642859999999</v>
      </c>
      <c r="E130">
        <v>48.725000000000001</v>
      </c>
      <c r="F130">
        <v>27.327142859999999</v>
      </c>
      <c r="G130">
        <v>22.945</v>
      </c>
      <c r="H130">
        <v>1629.193571</v>
      </c>
      <c r="I130">
        <v>3.2</v>
      </c>
      <c r="J130" t="s">
        <v>12</v>
      </c>
    </row>
    <row r="131" spans="1:10" x14ac:dyDescent="0.25">
      <c r="A131" t="s">
        <v>18</v>
      </c>
      <c r="B131">
        <v>2004</v>
      </c>
      <c r="C131">
        <v>639.91923080000004</v>
      </c>
      <c r="D131">
        <v>351.1707692</v>
      </c>
      <c r="E131">
        <v>48.55769231</v>
      </c>
      <c r="F131">
        <v>28.46</v>
      </c>
      <c r="G131">
        <v>24.10153846</v>
      </c>
      <c r="H131">
        <v>1543.357692</v>
      </c>
      <c r="I131">
        <v>1.962307692</v>
      </c>
      <c r="J131" t="s">
        <v>12</v>
      </c>
    </row>
    <row r="132" spans="1:10" x14ac:dyDescent="0.25">
      <c r="A132" t="s">
        <v>18</v>
      </c>
      <c r="B132">
        <v>2005</v>
      </c>
      <c r="C132">
        <v>468.01799999999997</v>
      </c>
      <c r="D132">
        <v>277.34333329999998</v>
      </c>
      <c r="E132">
        <v>49.495333330000001</v>
      </c>
      <c r="F132">
        <v>21.511333329999999</v>
      </c>
      <c r="G132">
        <v>25.398</v>
      </c>
      <c r="H132">
        <v>1758.9946669999999</v>
      </c>
      <c r="I132">
        <v>2.709333333</v>
      </c>
      <c r="J132" t="s">
        <v>11</v>
      </c>
    </row>
    <row r="133" spans="1:10" x14ac:dyDescent="0.25">
      <c r="A133" t="s">
        <v>18</v>
      </c>
      <c r="B133">
        <v>2006</v>
      </c>
      <c r="C133">
        <v>479.36399999999998</v>
      </c>
      <c r="D133">
        <v>279.85000000000002</v>
      </c>
      <c r="E133">
        <v>46.83</v>
      </c>
      <c r="F133">
        <v>25.544</v>
      </c>
      <c r="G133">
        <v>22.986000000000001</v>
      </c>
      <c r="H133">
        <v>1694.7360000000001</v>
      </c>
      <c r="I133">
        <v>2.2080000000000002</v>
      </c>
      <c r="J133" t="s">
        <v>11</v>
      </c>
    </row>
    <row r="134" spans="1:10" x14ac:dyDescent="0.25">
      <c r="A134" t="s">
        <v>18</v>
      </c>
      <c r="B134">
        <v>2007</v>
      </c>
      <c r="C134">
        <v>444.34909090000002</v>
      </c>
      <c r="D134">
        <v>287.85090910000002</v>
      </c>
      <c r="E134">
        <v>44.73545455</v>
      </c>
      <c r="F134">
        <v>24.668181820000001</v>
      </c>
      <c r="G134">
        <v>22.425454550000001</v>
      </c>
      <c r="H134">
        <v>1251.4927270000001</v>
      </c>
      <c r="I134">
        <v>3.1490909089999999</v>
      </c>
      <c r="J134" t="s">
        <v>11</v>
      </c>
    </row>
    <row r="135" spans="1:10" x14ac:dyDescent="0.25">
      <c r="A135" t="s">
        <v>18</v>
      </c>
      <c r="B135">
        <v>2008</v>
      </c>
      <c r="C135">
        <v>581.20500000000004</v>
      </c>
      <c r="D135">
        <v>319.28874999999999</v>
      </c>
      <c r="E135">
        <v>55.646250000000002</v>
      </c>
      <c r="F135">
        <v>24.892499999999998</v>
      </c>
      <c r="G135">
        <v>22.631250000000001</v>
      </c>
      <c r="H135">
        <v>1219.1912500000001</v>
      </c>
      <c r="I135">
        <v>3.58</v>
      </c>
      <c r="J135" t="s">
        <v>12</v>
      </c>
    </row>
    <row r="136" spans="1:10" x14ac:dyDescent="0.25">
      <c r="A136" t="s">
        <v>18</v>
      </c>
      <c r="B136">
        <v>2009</v>
      </c>
      <c r="C136">
        <v>443.73200000000003</v>
      </c>
      <c r="D136">
        <v>224.90600000000001</v>
      </c>
      <c r="E136">
        <v>54.27</v>
      </c>
      <c r="F136">
        <v>15.066000000000001</v>
      </c>
      <c r="G136">
        <v>34.201999999999998</v>
      </c>
      <c r="H136">
        <v>1244.0219999999999</v>
      </c>
      <c r="I136">
        <v>1.796</v>
      </c>
      <c r="J136" t="s">
        <v>11</v>
      </c>
    </row>
    <row r="137" spans="1:10" x14ac:dyDescent="0.25">
      <c r="A137" t="s">
        <v>18</v>
      </c>
      <c r="B137">
        <v>2010</v>
      </c>
      <c r="C137">
        <v>482.32666669999998</v>
      </c>
      <c r="D137">
        <v>236.83555559999999</v>
      </c>
      <c r="E137">
        <v>41.79</v>
      </c>
      <c r="F137">
        <v>22.50333333</v>
      </c>
      <c r="G137">
        <v>22.83888889</v>
      </c>
      <c r="H137">
        <v>1691.6011109999999</v>
      </c>
      <c r="I137">
        <v>2.233333333</v>
      </c>
      <c r="J137" t="s">
        <v>11</v>
      </c>
    </row>
    <row r="138" spans="1:10" x14ac:dyDescent="0.25">
      <c r="A138" t="s">
        <v>18</v>
      </c>
      <c r="B138">
        <v>2011</v>
      </c>
      <c r="C138">
        <v>591.65909090000002</v>
      </c>
      <c r="D138">
        <v>233.2190909</v>
      </c>
      <c r="E138">
        <v>46.348181820000001</v>
      </c>
      <c r="F138">
        <v>28.800909090000001</v>
      </c>
      <c r="G138">
        <v>27.616363639999999</v>
      </c>
      <c r="H138">
        <v>1378.6427269999999</v>
      </c>
      <c r="I138">
        <v>2.2863636359999999</v>
      </c>
      <c r="J138" t="s">
        <v>11</v>
      </c>
    </row>
    <row r="139" spans="1:10" x14ac:dyDescent="0.25">
      <c r="A139" t="s">
        <v>18</v>
      </c>
      <c r="B139">
        <v>2012</v>
      </c>
      <c r="C139">
        <v>574.98692310000001</v>
      </c>
      <c r="D139">
        <v>333.8</v>
      </c>
      <c r="E139">
        <v>41.74307692</v>
      </c>
      <c r="F139">
        <v>29.489230769999999</v>
      </c>
      <c r="G139">
        <v>28.303076919999999</v>
      </c>
      <c r="H139">
        <v>1242.627692</v>
      </c>
      <c r="I139">
        <v>2.2038461539999998</v>
      </c>
      <c r="J139" t="s">
        <v>12</v>
      </c>
    </row>
    <row r="140" spans="1:10" x14ac:dyDescent="0.25">
      <c r="A140" t="s">
        <v>18</v>
      </c>
      <c r="B140">
        <v>2013</v>
      </c>
      <c r="C140">
        <v>465.45727269999998</v>
      </c>
      <c r="D140">
        <v>311.85181820000003</v>
      </c>
      <c r="E140">
        <v>52.59636364</v>
      </c>
      <c r="F140">
        <v>28.76363636</v>
      </c>
      <c r="G140">
        <v>24.285454550000001</v>
      </c>
      <c r="H140">
        <v>1335.7972729999999</v>
      </c>
      <c r="I140">
        <v>3.5136363639999999</v>
      </c>
      <c r="J140" t="s">
        <v>12</v>
      </c>
    </row>
    <row r="141" spans="1:10" x14ac:dyDescent="0.25">
      <c r="A141" t="s">
        <v>18</v>
      </c>
      <c r="B141">
        <v>2014</v>
      </c>
      <c r="C141">
        <v>595.24749999999995</v>
      </c>
      <c r="D141">
        <v>204.92</v>
      </c>
      <c r="E141">
        <v>50.237499999999997</v>
      </c>
      <c r="F141">
        <v>31.2425</v>
      </c>
      <c r="G141">
        <v>23.818333330000002</v>
      </c>
      <c r="H141">
        <v>1743.239167</v>
      </c>
      <c r="I141">
        <v>2.8141666669999998</v>
      </c>
      <c r="J141" t="s">
        <v>11</v>
      </c>
    </row>
    <row r="142" spans="1:10" x14ac:dyDescent="0.25">
      <c r="A142" t="s">
        <v>18</v>
      </c>
      <c r="B142">
        <v>2015</v>
      </c>
      <c r="C142">
        <v>606.32777780000004</v>
      </c>
      <c r="D142">
        <v>241.65888889999999</v>
      </c>
      <c r="E142">
        <v>44.188888890000001</v>
      </c>
      <c r="F142">
        <v>31.351111110000002</v>
      </c>
      <c r="G142">
        <v>25.665555560000001</v>
      </c>
      <c r="H142">
        <v>1359.15</v>
      </c>
      <c r="I142">
        <v>3.1188888889999999</v>
      </c>
      <c r="J142" t="s">
        <v>11</v>
      </c>
    </row>
    <row r="143" spans="1:10" x14ac:dyDescent="0.25">
      <c r="A143" t="s">
        <v>18</v>
      </c>
      <c r="B143">
        <v>2016</v>
      </c>
      <c r="C143">
        <v>591.91444439999998</v>
      </c>
      <c r="D143">
        <v>308.63888889999998</v>
      </c>
      <c r="E143">
        <v>45.316666669999996</v>
      </c>
      <c r="F143">
        <v>28.646666669999998</v>
      </c>
      <c r="G143">
        <v>28.17777778</v>
      </c>
      <c r="H143">
        <v>1470.991111</v>
      </c>
      <c r="I143">
        <v>2.65</v>
      </c>
      <c r="J143" t="s">
        <v>12</v>
      </c>
    </row>
    <row r="144" spans="1:10" x14ac:dyDescent="0.25">
      <c r="A144" t="s">
        <v>18</v>
      </c>
      <c r="B144">
        <v>2017</v>
      </c>
      <c r="C144">
        <v>462.96</v>
      </c>
      <c r="D144">
        <v>251.99333329999999</v>
      </c>
      <c r="E144">
        <v>46.404444439999999</v>
      </c>
      <c r="F144">
        <v>26.214444440000001</v>
      </c>
      <c r="G144">
        <v>26.851111110000002</v>
      </c>
      <c r="H144">
        <v>1857.62</v>
      </c>
      <c r="I144">
        <v>3.0655555560000001</v>
      </c>
      <c r="J144" t="s">
        <v>11</v>
      </c>
    </row>
    <row r="145" spans="1:10" x14ac:dyDescent="0.25">
      <c r="A145" t="s">
        <v>18</v>
      </c>
      <c r="B145">
        <v>2018</v>
      </c>
      <c r="C145">
        <v>634.26888889999998</v>
      </c>
      <c r="D145">
        <v>220.4866667</v>
      </c>
      <c r="E145">
        <v>47.547777779999997</v>
      </c>
      <c r="F145">
        <v>29.306666669999998</v>
      </c>
      <c r="G145">
        <v>25.221111109999999</v>
      </c>
      <c r="H145">
        <v>1299.051111</v>
      </c>
      <c r="I145">
        <v>2.1355555559999999</v>
      </c>
      <c r="J145" t="s">
        <v>11</v>
      </c>
    </row>
    <row r="146" spans="1:10" x14ac:dyDescent="0.25">
      <c r="A146" t="s">
        <v>18</v>
      </c>
      <c r="B146">
        <v>2019</v>
      </c>
      <c r="C146">
        <v>426.87333330000001</v>
      </c>
      <c r="D146">
        <v>371.66666670000001</v>
      </c>
      <c r="E146">
        <v>54.625</v>
      </c>
      <c r="F146">
        <v>33.6</v>
      </c>
      <c r="G146">
        <v>24.498333330000001</v>
      </c>
      <c r="H146">
        <v>1767.771667</v>
      </c>
      <c r="I146">
        <v>2.8166666669999998</v>
      </c>
      <c r="J146" t="s">
        <v>12</v>
      </c>
    </row>
    <row r="147" spans="1:10" x14ac:dyDescent="0.25">
      <c r="A147" t="s">
        <v>18</v>
      </c>
      <c r="B147">
        <v>2020</v>
      </c>
      <c r="C147">
        <v>350.04399999999998</v>
      </c>
      <c r="D147">
        <v>284.76799999999997</v>
      </c>
      <c r="E147">
        <v>55.97666667</v>
      </c>
      <c r="F147">
        <v>32.719333329999998</v>
      </c>
      <c r="G147">
        <v>25.422666670000002</v>
      </c>
      <c r="H147">
        <v>1520.1406669999999</v>
      </c>
      <c r="I147">
        <v>1.996</v>
      </c>
      <c r="J147" t="s">
        <v>11</v>
      </c>
    </row>
    <row r="148" spans="1:10" x14ac:dyDescent="0.25">
      <c r="A148" t="s">
        <v>18</v>
      </c>
      <c r="B148">
        <v>2021</v>
      </c>
      <c r="C148">
        <v>564.27454550000004</v>
      </c>
      <c r="D148">
        <v>236.3118182</v>
      </c>
      <c r="E148">
        <v>51.02</v>
      </c>
      <c r="F148">
        <v>23.171818179999999</v>
      </c>
      <c r="G148">
        <v>26.487272730000001</v>
      </c>
      <c r="H148">
        <v>1469.8</v>
      </c>
      <c r="I148">
        <v>2.1890909089999999</v>
      </c>
      <c r="J148" t="s">
        <v>11</v>
      </c>
    </row>
    <row r="149" spans="1:10" x14ac:dyDescent="0.25">
      <c r="A149" t="s">
        <v>18</v>
      </c>
      <c r="B149">
        <v>2022</v>
      </c>
      <c r="C149">
        <v>474.27363639999999</v>
      </c>
      <c r="D149">
        <v>208.10909090000001</v>
      </c>
      <c r="E149">
        <v>49.978181820000003</v>
      </c>
      <c r="F149">
        <v>25.193636359999999</v>
      </c>
      <c r="G149">
        <v>20.553636359999999</v>
      </c>
      <c r="H149">
        <v>1067.060909</v>
      </c>
      <c r="I149">
        <v>2.7163636360000001</v>
      </c>
      <c r="J149" t="s">
        <v>11</v>
      </c>
    </row>
    <row r="150" spans="1:10" x14ac:dyDescent="0.25">
      <c r="A150" t="s">
        <v>18</v>
      </c>
      <c r="B150">
        <v>2023</v>
      </c>
      <c r="C150">
        <v>280.60428569999999</v>
      </c>
      <c r="D150">
        <v>291.0928571</v>
      </c>
      <c r="E150">
        <v>56.832857140000002</v>
      </c>
      <c r="F150">
        <v>18.27857143</v>
      </c>
      <c r="G150">
        <v>24.554285709999998</v>
      </c>
      <c r="H150">
        <v>1516.63</v>
      </c>
      <c r="I150">
        <v>2.2771428569999999</v>
      </c>
      <c r="J150" t="s">
        <v>11</v>
      </c>
    </row>
    <row r="151" spans="1:10" x14ac:dyDescent="0.25">
      <c r="A151" t="s">
        <v>18</v>
      </c>
      <c r="B151">
        <v>2024</v>
      </c>
      <c r="C151">
        <v>371.27333329999999</v>
      </c>
      <c r="D151">
        <v>262.02333329999999</v>
      </c>
      <c r="E151">
        <v>39.646666670000002</v>
      </c>
      <c r="F151">
        <v>21.28</v>
      </c>
      <c r="G151">
        <v>24.013333329999998</v>
      </c>
      <c r="H151">
        <v>1786.175</v>
      </c>
      <c r="I151">
        <v>3.0716666670000001</v>
      </c>
      <c r="J151" t="s">
        <v>11</v>
      </c>
    </row>
    <row r="152" spans="1:10" x14ac:dyDescent="0.25">
      <c r="A152" t="s">
        <v>19</v>
      </c>
      <c r="B152">
        <v>2000</v>
      </c>
      <c r="C152">
        <v>215.22399999999999</v>
      </c>
      <c r="D152">
        <v>294.82600000000002</v>
      </c>
      <c r="E152">
        <v>43.591999999999999</v>
      </c>
      <c r="F152">
        <v>30.643999999999998</v>
      </c>
      <c r="G152">
        <v>28.184000000000001</v>
      </c>
      <c r="H152">
        <v>1112.8720000000001</v>
      </c>
      <c r="I152">
        <v>3.1</v>
      </c>
      <c r="J152" t="s">
        <v>11</v>
      </c>
    </row>
    <row r="153" spans="1:10" x14ac:dyDescent="0.25">
      <c r="A153" t="s">
        <v>19</v>
      </c>
      <c r="B153">
        <v>2001</v>
      </c>
      <c r="C153">
        <v>646.42857140000001</v>
      </c>
      <c r="D153">
        <v>274.76571430000001</v>
      </c>
      <c r="E153">
        <v>46.672857139999998</v>
      </c>
      <c r="F153">
        <v>31.132857139999999</v>
      </c>
      <c r="G153">
        <v>28.462857140000001</v>
      </c>
      <c r="H153">
        <v>1664.31</v>
      </c>
      <c r="I153">
        <v>2.58</v>
      </c>
      <c r="J153" t="s">
        <v>11</v>
      </c>
    </row>
    <row r="154" spans="1:10" x14ac:dyDescent="0.25">
      <c r="A154" t="s">
        <v>19</v>
      </c>
      <c r="B154">
        <v>2002</v>
      </c>
      <c r="C154">
        <v>569.154</v>
      </c>
      <c r="D154">
        <v>289.43</v>
      </c>
      <c r="E154">
        <v>53.094000000000001</v>
      </c>
      <c r="F154">
        <v>25.012</v>
      </c>
      <c r="G154">
        <v>27.314</v>
      </c>
      <c r="H154">
        <v>2031.0920000000001</v>
      </c>
      <c r="I154">
        <v>1.8029999999999999</v>
      </c>
      <c r="J154" t="s">
        <v>11</v>
      </c>
    </row>
    <row r="155" spans="1:10" x14ac:dyDescent="0.25">
      <c r="A155" t="s">
        <v>19</v>
      </c>
      <c r="B155">
        <v>2003</v>
      </c>
      <c r="C155">
        <v>727.98699999999997</v>
      </c>
      <c r="D155">
        <v>289.48399999999998</v>
      </c>
      <c r="E155">
        <v>38.055999999999997</v>
      </c>
      <c r="F155">
        <v>29.648</v>
      </c>
      <c r="G155">
        <v>24.222000000000001</v>
      </c>
      <c r="H155">
        <v>1384.2070000000001</v>
      </c>
      <c r="I155">
        <v>2.2309999999999999</v>
      </c>
      <c r="J155" t="s">
        <v>11</v>
      </c>
    </row>
    <row r="156" spans="1:10" x14ac:dyDescent="0.25">
      <c r="A156" t="s">
        <v>19</v>
      </c>
      <c r="B156">
        <v>2004</v>
      </c>
      <c r="C156">
        <v>436.42500000000001</v>
      </c>
      <c r="D156">
        <v>178.76750000000001</v>
      </c>
      <c r="E156">
        <v>34.967500000000001</v>
      </c>
      <c r="F156">
        <v>40.954999999999998</v>
      </c>
      <c r="G156">
        <v>29.127500000000001</v>
      </c>
      <c r="H156">
        <v>700.23</v>
      </c>
      <c r="I156">
        <v>2.3675000000000002</v>
      </c>
      <c r="J156" t="s">
        <v>15</v>
      </c>
    </row>
    <row r="157" spans="1:10" x14ac:dyDescent="0.25">
      <c r="A157" t="s">
        <v>19</v>
      </c>
      <c r="B157">
        <v>2005</v>
      </c>
      <c r="C157">
        <v>356.95166669999998</v>
      </c>
      <c r="D157">
        <v>272.43583330000001</v>
      </c>
      <c r="E157">
        <v>48.369166669999998</v>
      </c>
      <c r="F157">
        <v>26.52</v>
      </c>
      <c r="G157">
        <v>21.9375</v>
      </c>
      <c r="H157">
        <v>1777.863333</v>
      </c>
      <c r="I157">
        <v>3.26</v>
      </c>
      <c r="J157" t="s">
        <v>11</v>
      </c>
    </row>
    <row r="158" spans="1:10" x14ac:dyDescent="0.25">
      <c r="A158" t="s">
        <v>19</v>
      </c>
      <c r="B158">
        <v>2006</v>
      </c>
      <c r="C158">
        <v>519.47</v>
      </c>
      <c r="D158">
        <v>297.80153849999999</v>
      </c>
      <c r="E158">
        <v>53.29538462</v>
      </c>
      <c r="F158">
        <v>32.123846149999999</v>
      </c>
      <c r="G158">
        <v>25.042307690000001</v>
      </c>
      <c r="H158">
        <v>1911.5369229999999</v>
      </c>
      <c r="I158">
        <v>2.576923077</v>
      </c>
      <c r="J158" t="s">
        <v>11</v>
      </c>
    </row>
    <row r="159" spans="1:10" x14ac:dyDescent="0.25">
      <c r="A159" t="s">
        <v>19</v>
      </c>
      <c r="B159">
        <v>2007</v>
      </c>
      <c r="C159">
        <v>603.37727270000005</v>
      </c>
      <c r="D159">
        <v>287.82727269999998</v>
      </c>
      <c r="E159">
        <v>58.756363639999996</v>
      </c>
      <c r="F159">
        <v>24.86090909</v>
      </c>
      <c r="G159">
        <v>26.433636360000001</v>
      </c>
      <c r="H159">
        <v>1477.133636</v>
      </c>
      <c r="I159">
        <v>2.460909091</v>
      </c>
      <c r="J159" t="s">
        <v>11</v>
      </c>
    </row>
    <row r="160" spans="1:10" x14ac:dyDescent="0.25">
      <c r="A160" t="s">
        <v>19</v>
      </c>
      <c r="B160">
        <v>2008</v>
      </c>
      <c r="C160">
        <v>625.78714290000005</v>
      </c>
      <c r="D160">
        <v>285.27428570000001</v>
      </c>
      <c r="E160">
        <v>47.807142859999999</v>
      </c>
      <c r="F160">
        <v>35.81</v>
      </c>
      <c r="G160">
        <v>20.667142859999998</v>
      </c>
      <c r="H160">
        <v>1724.527143</v>
      </c>
      <c r="I160">
        <v>1.6328571430000001</v>
      </c>
      <c r="J160" t="s">
        <v>11</v>
      </c>
    </row>
    <row r="161" spans="1:10" x14ac:dyDescent="0.25">
      <c r="A161" t="s">
        <v>19</v>
      </c>
      <c r="B161">
        <v>2009</v>
      </c>
      <c r="C161">
        <v>129.63666670000001</v>
      </c>
      <c r="D161">
        <v>266.55</v>
      </c>
      <c r="E161">
        <v>47.276666669999997</v>
      </c>
      <c r="F161">
        <v>29.82</v>
      </c>
      <c r="G161">
        <v>13.823333330000001</v>
      </c>
      <c r="H161">
        <v>1329.656667</v>
      </c>
      <c r="I161">
        <v>2.1666666669999999</v>
      </c>
      <c r="J161" t="s">
        <v>11</v>
      </c>
    </row>
    <row r="162" spans="1:10" x14ac:dyDescent="0.25">
      <c r="A162" t="s">
        <v>19</v>
      </c>
      <c r="B162">
        <v>2010</v>
      </c>
      <c r="C162">
        <v>322.49</v>
      </c>
      <c r="D162">
        <v>263.35714289999999</v>
      </c>
      <c r="E162">
        <v>43.071428570000002</v>
      </c>
      <c r="F162">
        <v>27.53</v>
      </c>
      <c r="G162">
        <v>23.228571429999999</v>
      </c>
      <c r="H162">
        <v>1013.7371429999999</v>
      </c>
      <c r="I162">
        <v>1.6071428569999999</v>
      </c>
      <c r="J162" t="s">
        <v>11</v>
      </c>
    </row>
    <row r="163" spans="1:10" x14ac:dyDescent="0.25">
      <c r="A163" t="s">
        <v>19</v>
      </c>
      <c r="B163">
        <v>2011</v>
      </c>
      <c r="C163">
        <v>613.32222220000006</v>
      </c>
      <c r="D163">
        <v>184.7377778</v>
      </c>
      <c r="E163">
        <v>39.733333330000001</v>
      </c>
      <c r="F163">
        <v>23.778888890000001</v>
      </c>
      <c r="G163">
        <v>23.377777779999999</v>
      </c>
      <c r="H163">
        <v>1436.822222</v>
      </c>
      <c r="I163">
        <v>3.4155555560000002</v>
      </c>
      <c r="J163" t="s">
        <v>15</v>
      </c>
    </row>
    <row r="164" spans="1:10" x14ac:dyDescent="0.25">
      <c r="A164" t="s">
        <v>19</v>
      </c>
      <c r="B164">
        <v>2012</v>
      </c>
      <c r="C164">
        <v>496.17466669999999</v>
      </c>
      <c r="D164">
        <v>274.86266669999998</v>
      </c>
      <c r="E164">
        <v>46.564666670000001</v>
      </c>
      <c r="F164">
        <v>20.73533333</v>
      </c>
      <c r="G164">
        <v>26.72066667</v>
      </c>
      <c r="H164">
        <v>1663.1073329999999</v>
      </c>
      <c r="I164">
        <v>3.0733333329999999</v>
      </c>
      <c r="J164" t="s">
        <v>11</v>
      </c>
    </row>
    <row r="165" spans="1:10" x14ac:dyDescent="0.25">
      <c r="A165" t="s">
        <v>19</v>
      </c>
      <c r="B165">
        <v>2013</v>
      </c>
      <c r="C165">
        <v>373.52</v>
      </c>
      <c r="D165">
        <v>350.70857139999998</v>
      </c>
      <c r="E165">
        <v>58.90142857</v>
      </c>
      <c r="F165">
        <v>30.941428569999999</v>
      </c>
      <c r="G165">
        <v>27.59</v>
      </c>
      <c r="H165">
        <v>1651.584286</v>
      </c>
      <c r="I165">
        <v>2.021428571</v>
      </c>
      <c r="J165" t="s">
        <v>12</v>
      </c>
    </row>
    <row r="166" spans="1:10" x14ac:dyDescent="0.25">
      <c r="A166" t="s">
        <v>19</v>
      </c>
      <c r="B166">
        <v>2014</v>
      </c>
      <c r="C166">
        <v>531.37153850000004</v>
      </c>
      <c r="D166">
        <v>222.1376923</v>
      </c>
      <c r="E166">
        <v>51.772307689999998</v>
      </c>
      <c r="F166">
        <v>23.624615380000002</v>
      </c>
      <c r="G166">
        <v>20.43615385</v>
      </c>
      <c r="H166">
        <v>1711.955385</v>
      </c>
      <c r="I166">
        <v>3.8207692309999999</v>
      </c>
      <c r="J166" t="s">
        <v>11</v>
      </c>
    </row>
    <row r="167" spans="1:10" x14ac:dyDescent="0.25">
      <c r="A167" t="s">
        <v>19</v>
      </c>
      <c r="B167">
        <v>2015</v>
      </c>
      <c r="C167">
        <v>660.48</v>
      </c>
      <c r="D167">
        <v>325.88499999999999</v>
      </c>
      <c r="E167">
        <v>41.158333329999998</v>
      </c>
      <c r="F167">
        <v>18.99666667</v>
      </c>
      <c r="G167">
        <v>22.03833333</v>
      </c>
      <c r="H167">
        <v>1783.0050000000001</v>
      </c>
      <c r="I167">
        <v>1.963333333</v>
      </c>
      <c r="J167" t="s">
        <v>12</v>
      </c>
    </row>
    <row r="168" spans="1:10" x14ac:dyDescent="0.25">
      <c r="A168" t="s">
        <v>19</v>
      </c>
      <c r="B168">
        <v>2016</v>
      </c>
      <c r="C168">
        <v>528.56153849999998</v>
      </c>
      <c r="D168">
        <v>275.11538460000003</v>
      </c>
      <c r="E168">
        <v>45.713846150000002</v>
      </c>
      <c r="F168">
        <v>26.943076919999999</v>
      </c>
      <c r="G168">
        <v>17.559999999999999</v>
      </c>
      <c r="H168">
        <v>1593.666923</v>
      </c>
      <c r="I168">
        <v>2.9638461540000001</v>
      </c>
      <c r="J168" t="s">
        <v>11</v>
      </c>
    </row>
    <row r="169" spans="1:10" x14ac:dyDescent="0.25">
      <c r="A169" t="s">
        <v>19</v>
      </c>
      <c r="B169">
        <v>2017</v>
      </c>
      <c r="C169">
        <v>548.83124999999995</v>
      </c>
      <c r="D169">
        <v>211.255</v>
      </c>
      <c r="E169">
        <v>44.12</v>
      </c>
      <c r="F169">
        <v>33.53875</v>
      </c>
      <c r="G169">
        <v>24.8825</v>
      </c>
      <c r="H169">
        <v>1364.2262499999999</v>
      </c>
      <c r="I169">
        <v>2.8675000000000002</v>
      </c>
      <c r="J169" t="s">
        <v>11</v>
      </c>
    </row>
    <row r="170" spans="1:10" x14ac:dyDescent="0.25">
      <c r="A170" t="s">
        <v>19</v>
      </c>
      <c r="B170">
        <v>2018</v>
      </c>
      <c r="C170">
        <v>514.18818180000005</v>
      </c>
      <c r="D170">
        <v>285.70181819999999</v>
      </c>
      <c r="E170">
        <v>46.782727270000002</v>
      </c>
      <c r="F170">
        <v>30.7</v>
      </c>
      <c r="G170">
        <v>25.523636360000001</v>
      </c>
      <c r="H170">
        <v>1293.6927270000001</v>
      </c>
      <c r="I170">
        <v>3.0627272730000001</v>
      </c>
      <c r="J170" t="s">
        <v>11</v>
      </c>
    </row>
    <row r="171" spans="1:10" x14ac:dyDescent="0.25">
      <c r="A171" t="s">
        <v>19</v>
      </c>
      <c r="B171">
        <v>2019</v>
      </c>
      <c r="C171">
        <v>531.14142860000004</v>
      </c>
      <c r="D171">
        <v>287.07714290000001</v>
      </c>
      <c r="E171">
        <v>42.094285710000001</v>
      </c>
      <c r="F171">
        <v>30.032857140000001</v>
      </c>
      <c r="G171">
        <v>24.45</v>
      </c>
      <c r="H171">
        <v>1919.2742860000001</v>
      </c>
      <c r="I171">
        <v>2.458571429</v>
      </c>
      <c r="J171" t="s">
        <v>11</v>
      </c>
    </row>
    <row r="172" spans="1:10" x14ac:dyDescent="0.25">
      <c r="A172" t="s">
        <v>19</v>
      </c>
      <c r="B172">
        <v>2020</v>
      </c>
      <c r="C172">
        <v>648.95692310000004</v>
      </c>
      <c r="D172">
        <v>294.7538462</v>
      </c>
      <c r="E172">
        <v>44.643846150000002</v>
      </c>
      <c r="F172">
        <v>30.8</v>
      </c>
      <c r="G172">
        <v>23.623076919999999</v>
      </c>
      <c r="H172">
        <v>1532.4192310000001</v>
      </c>
      <c r="I172">
        <v>2.3430769229999999</v>
      </c>
      <c r="J172" t="s">
        <v>11</v>
      </c>
    </row>
    <row r="173" spans="1:10" x14ac:dyDescent="0.25">
      <c r="A173" t="s">
        <v>19</v>
      </c>
      <c r="B173">
        <v>2021</v>
      </c>
      <c r="C173">
        <v>425.78727270000002</v>
      </c>
      <c r="D173">
        <v>264.1345455</v>
      </c>
      <c r="E173">
        <v>47.398181819999998</v>
      </c>
      <c r="F173">
        <v>30.968181820000002</v>
      </c>
      <c r="G173">
        <v>23.855454550000001</v>
      </c>
      <c r="H173">
        <v>1441.6118180000001</v>
      </c>
      <c r="I173">
        <v>2.2999999999999998</v>
      </c>
      <c r="J173" t="s">
        <v>11</v>
      </c>
    </row>
    <row r="174" spans="1:10" x14ac:dyDescent="0.25">
      <c r="A174" t="s">
        <v>19</v>
      </c>
      <c r="B174">
        <v>2022</v>
      </c>
      <c r="C174">
        <v>528.09785710000006</v>
      </c>
      <c r="D174">
        <v>281.53357140000003</v>
      </c>
      <c r="E174">
        <v>52.335714289999999</v>
      </c>
      <c r="F174">
        <v>26.934999999999999</v>
      </c>
      <c r="G174">
        <v>24.120714289999999</v>
      </c>
      <c r="H174">
        <v>1676.2514289999999</v>
      </c>
      <c r="I174">
        <v>2.7321428569999999</v>
      </c>
      <c r="J174" t="s">
        <v>11</v>
      </c>
    </row>
    <row r="175" spans="1:10" x14ac:dyDescent="0.25">
      <c r="A175" t="s">
        <v>19</v>
      </c>
      <c r="B175">
        <v>2023</v>
      </c>
      <c r="C175">
        <v>564.02200000000005</v>
      </c>
      <c r="D175">
        <v>248.52099999999999</v>
      </c>
      <c r="E175">
        <v>53.012</v>
      </c>
      <c r="F175">
        <v>28.683</v>
      </c>
      <c r="G175">
        <v>25.183</v>
      </c>
      <c r="H175">
        <v>1637.84</v>
      </c>
      <c r="I175">
        <v>2.6259999999999999</v>
      </c>
      <c r="J175" t="s">
        <v>11</v>
      </c>
    </row>
    <row r="176" spans="1:10" x14ac:dyDescent="0.25">
      <c r="A176" t="s">
        <v>19</v>
      </c>
      <c r="B176">
        <v>2024</v>
      </c>
      <c r="C176">
        <v>551.20272729999999</v>
      </c>
      <c r="D176">
        <v>253.62909089999999</v>
      </c>
      <c r="E176">
        <v>55.769090910000003</v>
      </c>
      <c r="F176">
        <v>25.41545455</v>
      </c>
      <c r="G176">
        <v>23.273636360000001</v>
      </c>
      <c r="H176">
        <v>916.2636364</v>
      </c>
      <c r="I176">
        <v>3.2372727270000001</v>
      </c>
      <c r="J176" t="s">
        <v>11</v>
      </c>
    </row>
    <row r="177" spans="1:10" x14ac:dyDescent="0.25">
      <c r="A177" t="s">
        <v>20</v>
      </c>
      <c r="B177">
        <v>2000</v>
      </c>
      <c r="C177">
        <v>422.39249999999998</v>
      </c>
      <c r="D177">
        <v>404.35</v>
      </c>
      <c r="E177">
        <v>37.487499999999997</v>
      </c>
      <c r="F177">
        <v>39.08</v>
      </c>
      <c r="G177">
        <v>23.734999999999999</v>
      </c>
      <c r="H177">
        <v>1568.9549999999999</v>
      </c>
      <c r="I177">
        <v>2.2650000000000001</v>
      </c>
      <c r="J177" t="s">
        <v>12</v>
      </c>
    </row>
    <row r="178" spans="1:10" x14ac:dyDescent="0.25">
      <c r="A178" t="s">
        <v>20</v>
      </c>
      <c r="B178">
        <v>2001</v>
      </c>
      <c r="C178">
        <v>478.75615379999999</v>
      </c>
      <c r="D178">
        <v>200.8846154</v>
      </c>
      <c r="E178">
        <v>59.99</v>
      </c>
      <c r="F178">
        <v>20.734615380000001</v>
      </c>
      <c r="G178">
        <v>25.14</v>
      </c>
      <c r="H178">
        <v>1766.200769</v>
      </c>
      <c r="I178">
        <v>3.038461538</v>
      </c>
      <c r="J178" t="s">
        <v>11</v>
      </c>
    </row>
    <row r="179" spans="1:10" x14ac:dyDescent="0.25">
      <c r="A179" t="s">
        <v>20</v>
      </c>
      <c r="B179">
        <v>2002</v>
      </c>
      <c r="C179">
        <v>344.73750000000001</v>
      </c>
      <c r="D179">
        <v>333.92750000000001</v>
      </c>
      <c r="E179">
        <v>44.505000000000003</v>
      </c>
      <c r="F179">
        <v>26.873750000000001</v>
      </c>
      <c r="G179">
        <v>25.98875</v>
      </c>
      <c r="H179">
        <v>1603.4749999999999</v>
      </c>
      <c r="I179">
        <v>1.89</v>
      </c>
      <c r="J179" t="s">
        <v>12</v>
      </c>
    </row>
    <row r="180" spans="1:10" x14ac:dyDescent="0.25">
      <c r="A180" t="s">
        <v>20</v>
      </c>
      <c r="B180">
        <v>2003</v>
      </c>
      <c r="C180">
        <v>455.10374999999999</v>
      </c>
      <c r="D180">
        <v>298.29500000000002</v>
      </c>
      <c r="E180">
        <v>46.626249999999999</v>
      </c>
      <c r="F180">
        <v>25.02</v>
      </c>
      <c r="G180">
        <v>23.38</v>
      </c>
      <c r="H180">
        <v>2220.125</v>
      </c>
      <c r="I180">
        <v>2.2349999999999999</v>
      </c>
      <c r="J180" t="s">
        <v>11</v>
      </c>
    </row>
    <row r="181" spans="1:10" x14ac:dyDescent="0.25">
      <c r="A181" t="s">
        <v>20</v>
      </c>
      <c r="B181">
        <v>2004</v>
      </c>
      <c r="C181">
        <v>450.94</v>
      </c>
      <c r="D181">
        <v>228.80875</v>
      </c>
      <c r="E181">
        <v>52.234999999999999</v>
      </c>
      <c r="F181">
        <v>21.03875</v>
      </c>
      <c r="G181">
        <v>26.451250000000002</v>
      </c>
      <c r="H181">
        <v>1353.0287499999999</v>
      </c>
      <c r="I181">
        <v>2.3574999999999999</v>
      </c>
      <c r="J181" t="s">
        <v>11</v>
      </c>
    </row>
    <row r="182" spans="1:10" x14ac:dyDescent="0.25">
      <c r="A182" t="s">
        <v>20</v>
      </c>
      <c r="B182">
        <v>2005</v>
      </c>
      <c r="C182">
        <v>479.33222219999999</v>
      </c>
      <c r="D182">
        <v>338.36555559999999</v>
      </c>
      <c r="E182">
        <v>51.533333329999998</v>
      </c>
      <c r="F182">
        <v>28.485555560000002</v>
      </c>
      <c r="G182">
        <v>23.52222222</v>
      </c>
      <c r="H182">
        <v>1663.0577780000001</v>
      </c>
      <c r="I182">
        <v>2.076666667</v>
      </c>
      <c r="J182" t="s">
        <v>12</v>
      </c>
    </row>
    <row r="183" spans="1:10" x14ac:dyDescent="0.25">
      <c r="A183" t="s">
        <v>20</v>
      </c>
      <c r="B183">
        <v>2006</v>
      </c>
      <c r="C183">
        <v>603.71571429999995</v>
      </c>
      <c r="D183">
        <v>269.3114286</v>
      </c>
      <c r="E183">
        <v>52.885714290000003</v>
      </c>
      <c r="F183">
        <v>24.801428569999999</v>
      </c>
      <c r="G183">
        <v>19.367142860000001</v>
      </c>
      <c r="H183">
        <v>1877.7657139999999</v>
      </c>
      <c r="I183">
        <v>3.2428571430000002</v>
      </c>
      <c r="J183" t="s">
        <v>11</v>
      </c>
    </row>
    <row r="184" spans="1:10" x14ac:dyDescent="0.25">
      <c r="A184" t="s">
        <v>20</v>
      </c>
      <c r="B184">
        <v>2007</v>
      </c>
      <c r="C184">
        <v>438.13428570000002</v>
      </c>
      <c r="D184">
        <v>381.55714289999997</v>
      </c>
      <c r="E184">
        <v>40.762857140000001</v>
      </c>
      <c r="F184">
        <v>32.835714289999999</v>
      </c>
      <c r="G184">
        <v>25.372857140000001</v>
      </c>
      <c r="H184">
        <v>1676.654286</v>
      </c>
      <c r="I184">
        <v>1.7871428570000001</v>
      </c>
      <c r="J184" t="s">
        <v>12</v>
      </c>
    </row>
    <row r="185" spans="1:10" x14ac:dyDescent="0.25">
      <c r="A185" t="s">
        <v>20</v>
      </c>
      <c r="B185">
        <v>2008</v>
      </c>
      <c r="C185">
        <v>629.81333329999995</v>
      </c>
      <c r="D185">
        <v>341.89222219999999</v>
      </c>
      <c r="E185">
        <v>46.102222220000002</v>
      </c>
      <c r="F185">
        <v>35.652222219999999</v>
      </c>
      <c r="G185">
        <v>19.91</v>
      </c>
      <c r="H185">
        <v>2011.2344439999999</v>
      </c>
      <c r="I185">
        <v>3.0211111110000002</v>
      </c>
      <c r="J185" t="s">
        <v>12</v>
      </c>
    </row>
    <row r="186" spans="1:10" x14ac:dyDescent="0.25">
      <c r="A186" t="s">
        <v>20</v>
      </c>
      <c r="B186">
        <v>2009</v>
      </c>
      <c r="C186">
        <v>558.14499999999998</v>
      </c>
      <c r="D186">
        <v>223.31899999999999</v>
      </c>
      <c r="E186">
        <v>43.686999999999998</v>
      </c>
      <c r="F186">
        <v>26.603999999999999</v>
      </c>
      <c r="G186">
        <v>25.576000000000001</v>
      </c>
      <c r="H186">
        <v>1710.0319999999999</v>
      </c>
      <c r="I186">
        <v>2.351</v>
      </c>
      <c r="J186" t="s">
        <v>11</v>
      </c>
    </row>
    <row r="187" spans="1:10" x14ac:dyDescent="0.25">
      <c r="A187" t="s">
        <v>20</v>
      </c>
      <c r="B187">
        <v>2010</v>
      </c>
      <c r="C187">
        <v>525.52083330000005</v>
      </c>
      <c r="D187">
        <v>316.42250000000001</v>
      </c>
      <c r="E187">
        <v>52.28833333</v>
      </c>
      <c r="F187">
        <v>23.452500000000001</v>
      </c>
      <c r="G187">
        <v>23.133333329999999</v>
      </c>
      <c r="H187">
        <v>1320.1583330000001</v>
      </c>
      <c r="I187">
        <v>1.7183333329999999</v>
      </c>
      <c r="J187" t="s">
        <v>12</v>
      </c>
    </row>
    <row r="188" spans="1:10" x14ac:dyDescent="0.25">
      <c r="A188" t="s">
        <v>20</v>
      </c>
      <c r="B188">
        <v>2011</v>
      </c>
      <c r="C188">
        <v>715.16714290000004</v>
      </c>
      <c r="D188">
        <v>269.5357143</v>
      </c>
      <c r="E188">
        <v>65.791428569999994</v>
      </c>
      <c r="F188">
        <v>30.235714290000001</v>
      </c>
      <c r="G188">
        <v>28.431428570000001</v>
      </c>
      <c r="H188">
        <v>1213.161429</v>
      </c>
      <c r="I188">
        <v>3.002857143</v>
      </c>
      <c r="J188" t="s">
        <v>11</v>
      </c>
    </row>
    <row r="189" spans="1:10" x14ac:dyDescent="0.25">
      <c r="A189" t="s">
        <v>20</v>
      </c>
      <c r="B189">
        <v>2012</v>
      </c>
      <c r="C189">
        <v>598.0823077</v>
      </c>
      <c r="D189">
        <v>328.2092308</v>
      </c>
      <c r="E189">
        <v>49.091538460000002</v>
      </c>
      <c r="F189">
        <v>27.76</v>
      </c>
      <c r="G189">
        <v>23.633076920000001</v>
      </c>
      <c r="H189">
        <v>1334.451538</v>
      </c>
      <c r="I189">
        <v>2.1469230769999998</v>
      </c>
      <c r="J189" t="s">
        <v>12</v>
      </c>
    </row>
    <row r="190" spans="1:10" x14ac:dyDescent="0.25">
      <c r="A190" t="s">
        <v>20</v>
      </c>
      <c r="B190">
        <v>2013</v>
      </c>
      <c r="C190">
        <v>623.01384619999999</v>
      </c>
      <c r="D190">
        <v>296.59153850000001</v>
      </c>
      <c r="E190">
        <v>55.988461540000003</v>
      </c>
      <c r="F190">
        <v>20.498461540000001</v>
      </c>
      <c r="G190">
        <v>25.690769230000001</v>
      </c>
      <c r="H190">
        <v>1236.7230770000001</v>
      </c>
      <c r="I190">
        <v>2.2453846149999999</v>
      </c>
      <c r="J190" t="s">
        <v>11</v>
      </c>
    </row>
    <row r="191" spans="1:10" x14ac:dyDescent="0.25">
      <c r="A191" t="s">
        <v>20</v>
      </c>
      <c r="B191">
        <v>2014</v>
      </c>
      <c r="C191">
        <v>500.43777779999999</v>
      </c>
      <c r="D191">
        <v>236.15777779999999</v>
      </c>
      <c r="E191">
        <v>54.778888889999998</v>
      </c>
      <c r="F191">
        <v>35.398888890000002</v>
      </c>
      <c r="G191">
        <v>26.25222222</v>
      </c>
      <c r="H191">
        <v>1814.1933329999999</v>
      </c>
      <c r="I191">
        <v>2.7344444440000002</v>
      </c>
      <c r="J191" t="s">
        <v>11</v>
      </c>
    </row>
    <row r="192" spans="1:10" x14ac:dyDescent="0.25">
      <c r="A192" t="s">
        <v>20</v>
      </c>
      <c r="B192">
        <v>2015</v>
      </c>
      <c r="C192">
        <v>551.12090909999995</v>
      </c>
      <c r="D192">
        <v>232.72636360000001</v>
      </c>
      <c r="E192">
        <v>41.872727269999999</v>
      </c>
      <c r="F192">
        <v>30.280909090000002</v>
      </c>
      <c r="G192">
        <v>22.2</v>
      </c>
      <c r="H192">
        <v>1314.403636</v>
      </c>
      <c r="I192">
        <v>3.02</v>
      </c>
      <c r="J192" t="s">
        <v>11</v>
      </c>
    </row>
    <row r="193" spans="1:10" x14ac:dyDescent="0.25">
      <c r="A193" t="s">
        <v>20</v>
      </c>
      <c r="B193">
        <v>2016</v>
      </c>
      <c r="C193">
        <v>425.52625</v>
      </c>
      <c r="D193">
        <v>312.06124999999997</v>
      </c>
      <c r="E193">
        <v>44.622500000000002</v>
      </c>
      <c r="F193">
        <v>28.978750000000002</v>
      </c>
      <c r="G193">
        <v>22.286249999999999</v>
      </c>
      <c r="H193">
        <v>1839.97875</v>
      </c>
      <c r="I193">
        <v>3.09375</v>
      </c>
      <c r="J193" t="s">
        <v>12</v>
      </c>
    </row>
    <row r="194" spans="1:10" x14ac:dyDescent="0.25">
      <c r="A194" t="s">
        <v>20</v>
      </c>
      <c r="B194">
        <v>2017</v>
      </c>
      <c r="C194">
        <v>628.49444440000002</v>
      </c>
      <c r="D194">
        <v>273.0844444</v>
      </c>
      <c r="E194">
        <v>53.496666670000003</v>
      </c>
      <c r="F194">
        <v>25.77222222</v>
      </c>
      <c r="G194">
        <v>29.676666669999999</v>
      </c>
      <c r="H194">
        <v>1399.413333</v>
      </c>
      <c r="I194">
        <v>2.3511111109999998</v>
      </c>
      <c r="J194" t="s">
        <v>11</v>
      </c>
    </row>
    <row r="195" spans="1:10" x14ac:dyDescent="0.25">
      <c r="A195" t="s">
        <v>20</v>
      </c>
      <c r="B195">
        <v>2018</v>
      </c>
      <c r="C195">
        <v>407.42090910000002</v>
      </c>
      <c r="D195">
        <v>290.49272730000001</v>
      </c>
      <c r="E195">
        <v>50.456363639999999</v>
      </c>
      <c r="F195">
        <v>31.29090909</v>
      </c>
      <c r="G195">
        <v>23.586363639999998</v>
      </c>
      <c r="H195">
        <v>1713.8336360000001</v>
      </c>
      <c r="I195">
        <v>2.441818182</v>
      </c>
      <c r="J195" t="s">
        <v>11</v>
      </c>
    </row>
    <row r="196" spans="1:10" x14ac:dyDescent="0.25">
      <c r="A196" t="s">
        <v>20</v>
      </c>
      <c r="B196">
        <v>2019</v>
      </c>
      <c r="C196">
        <v>427.82600000000002</v>
      </c>
      <c r="D196">
        <v>271.54599999999999</v>
      </c>
      <c r="E196">
        <v>52.225999999999999</v>
      </c>
      <c r="F196">
        <v>26.398</v>
      </c>
      <c r="G196">
        <v>27.722000000000001</v>
      </c>
      <c r="H196">
        <v>999.73299999999995</v>
      </c>
      <c r="I196">
        <v>2.2400000000000002</v>
      </c>
      <c r="J196" t="s">
        <v>11</v>
      </c>
    </row>
    <row r="197" spans="1:10" x14ac:dyDescent="0.25">
      <c r="A197" t="s">
        <v>20</v>
      </c>
      <c r="B197">
        <v>2020</v>
      </c>
      <c r="C197">
        <v>446.35571429999999</v>
      </c>
      <c r="D197">
        <v>289.66142860000002</v>
      </c>
      <c r="E197">
        <v>64.498571429999998</v>
      </c>
      <c r="F197">
        <v>26.792857139999999</v>
      </c>
      <c r="G197">
        <v>24.05285714</v>
      </c>
      <c r="H197">
        <v>1574.5614290000001</v>
      </c>
      <c r="I197">
        <v>2.6757142859999998</v>
      </c>
      <c r="J197" t="s">
        <v>11</v>
      </c>
    </row>
    <row r="198" spans="1:10" x14ac:dyDescent="0.25">
      <c r="A198" t="s">
        <v>20</v>
      </c>
      <c r="B198">
        <v>2021</v>
      </c>
      <c r="C198">
        <v>442.69909089999999</v>
      </c>
      <c r="D198">
        <v>276.65181819999998</v>
      </c>
      <c r="E198">
        <v>45.219090909999998</v>
      </c>
      <c r="F198">
        <v>24.586363639999998</v>
      </c>
      <c r="G198">
        <v>22.593636360000001</v>
      </c>
      <c r="H198">
        <v>1742.1645450000001</v>
      </c>
      <c r="I198">
        <v>2.1572727270000001</v>
      </c>
      <c r="J198" t="s">
        <v>11</v>
      </c>
    </row>
    <row r="199" spans="1:10" x14ac:dyDescent="0.25">
      <c r="A199" t="s">
        <v>20</v>
      </c>
      <c r="B199">
        <v>2022</v>
      </c>
      <c r="C199">
        <v>497.88785710000002</v>
      </c>
      <c r="D199">
        <v>354.5978571</v>
      </c>
      <c r="E199">
        <v>47.52</v>
      </c>
      <c r="F199">
        <v>33.61357143</v>
      </c>
      <c r="G199">
        <v>22.99142857</v>
      </c>
      <c r="H199">
        <v>2146.368571</v>
      </c>
      <c r="I199">
        <v>2.9685714289999998</v>
      </c>
      <c r="J199" t="s">
        <v>12</v>
      </c>
    </row>
    <row r="200" spans="1:10" x14ac:dyDescent="0.25">
      <c r="A200" t="s">
        <v>20</v>
      </c>
      <c r="B200">
        <v>2023</v>
      </c>
      <c r="C200">
        <v>451.28833329999998</v>
      </c>
      <c r="D200">
        <v>273</v>
      </c>
      <c r="E200">
        <v>48.391666669999999</v>
      </c>
      <c r="F200">
        <v>25.331666670000001</v>
      </c>
      <c r="G200">
        <v>27.932500000000001</v>
      </c>
      <c r="H200">
        <v>1603.4575</v>
      </c>
      <c r="I200">
        <v>2.9058333329999999</v>
      </c>
      <c r="J200" t="s">
        <v>11</v>
      </c>
    </row>
    <row r="201" spans="1:10" x14ac:dyDescent="0.25">
      <c r="A201" t="s">
        <v>20</v>
      </c>
      <c r="B201">
        <v>2024</v>
      </c>
      <c r="C201">
        <v>479.7509091</v>
      </c>
      <c r="D201">
        <v>337.7518182</v>
      </c>
      <c r="E201">
        <v>42.76363636</v>
      </c>
      <c r="F201">
        <v>26.45818182</v>
      </c>
      <c r="G201">
        <v>22.647272730000001</v>
      </c>
      <c r="H201">
        <v>1391.921818</v>
      </c>
      <c r="I201">
        <v>2.1781818180000001</v>
      </c>
      <c r="J201" t="s">
        <v>12</v>
      </c>
    </row>
    <row r="202" spans="1:10" x14ac:dyDescent="0.25">
      <c r="A202" t="s">
        <v>21</v>
      </c>
      <c r="B202">
        <v>2000</v>
      </c>
      <c r="C202">
        <v>423.4445455</v>
      </c>
      <c r="D202">
        <v>252.39454549999999</v>
      </c>
      <c r="E202">
        <v>55.174545449999997</v>
      </c>
      <c r="F202">
        <v>23.11818182</v>
      </c>
      <c r="G202">
        <v>23.12</v>
      </c>
      <c r="H202">
        <v>1519.429091</v>
      </c>
      <c r="I202">
        <v>1.8454545449999999</v>
      </c>
      <c r="J202" t="s">
        <v>11</v>
      </c>
    </row>
    <row r="203" spans="1:10" x14ac:dyDescent="0.25">
      <c r="A203" t="s">
        <v>21</v>
      </c>
      <c r="B203">
        <v>2001</v>
      </c>
      <c r="C203">
        <v>424.18083330000002</v>
      </c>
      <c r="D203">
        <v>225.18416669999999</v>
      </c>
      <c r="E203">
        <v>51.206666669999997</v>
      </c>
      <c r="F203">
        <v>26.98833333</v>
      </c>
      <c r="G203">
        <v>22.422499999999999</v>
      </c>
      <c r="H203">
        <v>1029.774167</v>
      </c>
      <c r="I203">
        <v>2.27</v>
      </c>
      <c r="J203" t="s">
        <v>11</v>
      </c>
    </row>
    <row r="204" spans="1:10" x14ac:dyDescent="0.25">
      <c r="A204" t="s">
        <v>21</v>
      </c>
      <c r="B204">
        <v>2002</v>
      </c>
      <c r="C204">
        <v>335.65272729999998</v>
      </c>
      <c r="D204">
        <v>297.66727270000001</v>
      </c>
      <c r="E204">
        <v>46.07</v>
      </c>
      <c r="F204">
        <v>24.108181819999999</v>
      </c>
      <c r="G204">
        <v>24.830909089999999</v>
      </c>
      <c r="H204">
        <v>1428.850909</v>
      </c>
      <c r="I204">
        <v>2.8609090909999999</v>
      </c>
      <c r="J204" t="s">
        <v>11</v>
      </c>
    </row>
    <row r="205" spans="1:10" x14ac:dyDescent="0.25">
      <c r="A205" t="s">
        <v>21</v>
      </c>
      <c r="B205">
        <v>2003</v>
      </c>
      <c r="C205">
        <v>500.56833330000001</v>
      </c>
      <c r="D205">
        <v>261.53666670000001</v>
      </c>
      <c r="E205">
        <v>42.46</v>
      </c>
      <c r="F205">
        <v>29.234999999999999</v>
      </c>
      <c r="G205">
        <v>32.734999999999999</v>
      </c>
      <c r="H205">
        <v>1433.5716669999999</v>
      </c>
      <c r="I205">
        <v>2.673333333</v>
      </c>
      <c r="J205" t="s">
        <v>11</v>
      </c>
    </row>
    <row r="206" spans="1:10" x14ac:dyDescent="0.25">
      <c r="A206" t="s">
        <v>21</v>
      </c>
      <c r="B206">
        <v>2004</v>
      </c>
      <c r="C206">
        <v>494.85857140000002</v>
      </c>
      <c r="D206">
        <v>301.0928571</v>
      </c>
      <c r="E206">
        <v>45.922857139999998</v>
      </c>
      <c r="F206">
        <v>31.557142859999999</v>
      </c>
      <c r="G206">
        <v>25.178571430000002</v>
      </c>
      <c r="H206">
        <v>1392.615714</v>
      </c>
      <c r="I206">
        <v>2.8857142859999998</v>
      </c>
      <c r="J206" t="s">
        <v>12</v>
      </c>
    </row>
    <row r="207" spans="1:10" x14ac:dyDescent="0.25">
      <c r="A207" t="s">
        <v>21</v>
      </c>
      <c r="B207">
        <v>2005</v>
      </c>
      <c r="C207">
        <v>340.63142859999999</v>
      </c>
      <c r="D207">
        <v>190.95142860000001</v>
      </c>
      <c r="E207">
        <v>48.942857140000001</v>
      </c>
      <c r="F207">
        <v>25.148571430000001</v>
      </c>
      <c r="G207">
        <v>21.478571429999999</v>
      </c>
      <c r="H207">
        <v>1467.027143</v>
      </c>
      <c r="I207">
        <v>2.4842857139999999</v>
      </c>
      <c r="J207" t="s">
        <v>15</v>
      </c>
    </row>
    <row r="208" spans="1:10" x14ac:dyDescent="0.25">
      <c r="A208" t="s">
        <v>21</v>
      </c>
      <c r="B208">
        <v>2006</v>
      </c>
      <c r="C208">
        <v>361.71249999999998</v>
      </c>
      <c r="D208">
        <v>302.77583329999999</v>
      </c>
      <c r="E208">
        <v>51.294166670000003</v>
      </c>
      <c r="F208">
        <v>32.152500000000003</v>
      </c>
      <c r="G208">
        <v>25.795000000000002</v>
      </c>
      <c r="H208">
        <v>1684.0775000000001</v>
      </c>
      <c r="I208">
        <v>2.2408333329999999</v>
      </c>
      <c r="J208" t="s">
        <v>12</v>
      </c>
    </row>
    <row r="209" spans="1:10" x14ac:dyDescent="0.25">
      <c r="A209" t="s">
        <v>21</v>
      </c>
      <c r="B209">
        <v>2007</v>
      </c>
      <c r="C209">
        <v>437.59</v>
      </c>
      <c r="D209">
        <v>320.209</v>
      </c>
      <c r="E209">
        <v>53.372999999999998</v>
      </c>
      <c r="F209">
        <v>27.334</v>
      </c>
      <c r="G209">
        <v>21.352</v>
      </c>
      <c r="H209">
        <v>1263.136</v>
      </c>
      <c r="I209">
        <v>2.7029999999999998</v>
      </c>
      <c r="J209" t="s">
        <v>12</v>
      </c>
    </row>
    <row r="210" spans="1:10" x14ac:dyDescent="0.25">
      <c r="A210" t="s">
        <v>21</v>
      </c>
      <c r="B210">
        <v>2008</v>
      </c>
      <c r="C210">
        <v>497.01714290000001</v>
      </c>
      <c r="D210">
        <v>172.44142859999999</v>
      </c>
      <c r="E210">
        <v>52.152857140000002</v>
      </c>
      <c r="F210">
        <v>29.284285709999999</v>
      </c>
      <c r="G210">
        <v>28.8</v>
      </c>
      <c r="H210">
        <v>1801.191429</v>
      </c>
      <c r="I210">
        <v>1.7157142860000001</v>
      </c>
      <c r="J210" t="s">
        <v>15</v>
      </c>
    </row>
    <row r="211" spans="1:10" x14ac:dyDescent="0.25">
      <c r="A211" t="s">
        <v>21</v>
      </c>
      <c r="B211">
        <v>2009</v>
      </c>
      <c r="C211">
        <v>526.37199999999996</v>
      </c>
      <c r="D211">
        <v>302.21600000000001</v>
      </c>
      <c r="E211">
        <v>37.624000000000002</v>
      </c>
      <c r="F211">
        <v>35.816666669999996</v>
      </c>
      <c r="G211">
        <v>22.36333333</v>
      </c>
      <c r="H211">
        <v>1692.661333</v>
      </c>
      <c r="I211">
        <v>2.552666667</v>
      </c>
      <c r="J211" t="s">
        <v>12</v>
      </c>
    </row>
    <row r="212" spans="1:10" x14ac:dyDescent="0.25">
      <c r="A212" t="s">
        <v>21</v>
      </c>
      <c r="B212">
        <v>2010</v>
      </c>
      <c r="C212">
        <v>394.0853846</v>
      </c>
      <c r="D212">
        <v>304.92846150000003</v>
      </c>
      <c r="E212">
        <v>52.38</v>
      </c>
      <c r="F212">
        <v>27.937692309999999</v>
      </c>
      <c r="G212">
        <v>24.420769230000001</v>
      </c>
      <c r="H212">
        <v>1642.2446150000001</v>
      </c>
      <c r="I212">
        <v>2.4138461539999998</v>
      </c>
      <c r="J212" t="s">
        <v>12</v>
      </c>
    </row>
    <row r="213" spans="1:10" x14ac:dyDescent="0.25">
      <c r="A213" t="s">
        <v>21</v>
      </c>
      <c r="B213">
        <v>2011</v>
      </c>
      <c r="C213">
        <v>513.07000000000005</v>
      </c>
      <c r="D213">
        <v>272.75400000000002</v>
      </c>
      <c r="E213">
        <v>44.915999999999997</v>
      </c>
      <c r="F213">
        <v>29.192</v>
      </c>
      <c r="G213">
        <v>23.584</v>
      </c>
      <c r="H213">
        <v>905.27800000000002</v>
      </c>
      <c r="I213">
        <v>2.8460000000000001</v>
      </c>
      <c r="J213" t="s">
        <v>11</v>
      </c>
    </row>
    <row r="214" spans="1:10" x14ac:dyDescent="0.25">
      <c r="A214" t="s">
        <v>21</v>
      </c>
      <c r="B214">
        <v>2012</v>
      </c>
      <c r="C214">
        <v>612.3836364</v>
      </c>
      <c r="D214">
        <v>215.1918182</v>
      </c>
      <c r="E214">
        <v>42.148181819999998</v>
      </c>
      <c r="F214">
        <v>20.18</v>
      </c>
      <c r="G214">
        <v>23.01454545</v>
      </c>
      <c r="H214">
        <v>1876.3054549999999</v>
      </c>
      <c r="I214">
        <v>2.367272727</v>
      </c>
      <c r="J214" t="s">
        <v>11</v>
      </c>
    </row>
    <row r="215" spans="1:10" x14ac:dyDescent="0.25">
      <c r="A215" t="s">
        <v>21</v>
      </c>
      <c r="B215">
        <v>2013</v>
      </c>
      <c r="C215">
        <v>524.20500000000004</v>
      </c>
      <c r="D215">
        <v>254.66749999999999</v>
      </c>
      <c r="E215">
        <v>61.594999999999999</v>
      </c>
      <c r="F215">
        <v>22.84</v>
      </c>
      <c r="G215">
        <v>17.195</v>
      </c>
      <c r="H215">
        <v>2360.0749999999998</v>
      </c>
      <c r="I215">
        <v>3.8925000000000001</v>
      </c>
      <c r="J215" t="s">
        <v>11</v>
      </c>
    </row>
    <row r="216" spans="1:10" x14ac:dyDescent="0.25">
      <c r="A216" t="s">
        <v>21</v>
      </c>
      <c r="B216">
        <v>2014</v>
      </c>
      <c r="C216">
        <v>398.72666670000001</v>
      </c>
      <c r="D216">
        <v>336.80083330000002</v>
      </c>
      <c r="E216">
        <v>54.001666669999999</v>
      </c>
      <c r="F216">
        <v>22.195</v>
      </c>
      <c r="G216">
        <v>19.96083333</v>
      </c>
      <c r="H216">
        <v>1911.3125</v>
      </c>
      <c r="I216">
        <v>2.6791666670000001</v>
      </c>
      <c r="J216" t="s">
        <v>12</v>
      </c>
    </row>
    <row r="217" spans="1:10" x14ac:dyDescent="0.25">
      <c r="A217" t="s">
        <v>21</v>
      </c>
      <c r="B217">
        <v>2015</v>
      </c>
      <c r="C217">
        <v>501.6763636</v>
      </c>
      <c r="D217">
        <v>220.62181820000001</v>
      </c>
      <c r="E217">
        <v>44.811818180000003</v>
      </c>
      <c r="F217">
        <v>27.185454549999999</v>
      </c>
      <c r="G217">
        <v>20.43818182</v>
      </c>
      <c r="H217">
        <v>1632.34</v>
      </c>
      <c r="I217">
        <v>3.057272727</v>
      </c>
      <c r="J217" t="s">
        <v>11</v>
      </c>
    </row>
    <row r="218" spans="1:10" x14ac:dyDescent="0.25">
      <c r="A218" t="s">
        <v>21</v>
      </c>
      <c r="B218">
        <v>2016</v>
      </c>
      <c r="C218">
        <v>648.61285710000004</v>
      </c>
      <c r="D218">
        <v>278.62714290000002</v>
      </c>
      <c r="E218">
        <v>50.79</v>
      </c>
      <c r="F218">
        <v>23.614285710000001</v>
      </c>
      <c r="G218">
        <v>17.922857140000001</v>
      </c>
      <c r="H218">
        <v>1720.858571</v>
      </c>
      <c r="I218">
        <v>2.3457142860000002</v>
      </c>
      <c r="J218" t="s">
        <v>11</v>
      </c>
    </row>
    <row r="219" spans="1:10" x14ac:dyDescent="0.25">
      <c r="A219" t="s">
        <v>21</v>
      </c>
      <c r="B219">
        <v>2017</v>
      </c>
      <c r="C219">
        <v>719.68285709999998</v>
      </c>
      <c r="D219">
        <v>255.63571429999999</v>
      </c>
      <c r="E219">
        <v>57</v>
      </c>
      <c r="F219">
        <v>24.55285714</v>
      </c>
      <c r="G219">
        <v>21.018571430000001</v>
      </c>
      <c r="H219">
        <v>1321.2957140000001</v>
      </c>
      <c r="I219">
        <v>1.97</v>
      </c>
      <c r="J219" t="s">
        <v>11</v>
      </c>
    </row>
    <row r="220" spans="1:10" x14ac:dyDescent="0.25">
      <c r="A220" t="s">
        <v>21</v>
      </c>
      <c r="B220">
        <v>2018</v>
      </c>
      <c r="C220">
        <v>439.709</v>
      </c>
      <c r="D220">
        <v>252.51599999999999</v>
      </c>
      <c r="E220">
        <v>48.88</v>
      </c>
      <c r="F220">
        <v>31.032</v>
      </c>
      <c r="G220">
        <v>27.669</v>
      </c>
      <c r="H220">
        <v>1275.087</v>
      </c>
      <c r="I220">
        <v>2.2349999999999999</v>
      </c>
      <c r="J220" t="s">
        <v>11</v>
      </c>
    </row>
    <row r="221" spans="1:10" x14ac:dyDescent="0.25">
      <c r="A221" t="s">
        <v>21</v>
      </c>
      <c r="B221">
        <v>2019</v>
      </c>
      <c r="C221">
        <v>413.00727269999999</v>
      </c>
      <c r="D221">
        <v>203.09272730000001</v>
      </c>
      <c r="E221">
        <v>49.468181819999998</v>
      </c>
      <c r="F221">
        <v>28.998181819999999</v>
      </c>
      <c r="G221">
        <v>25.380909089999999</v>
      </c>
      <c r="H221">
        <v>1795.6145449999999</v>
      </c>
      <c r="I221">
        <v>2.7345454550000001</v>
      </c>
      <c r="J221" t="s">
        <v>11</v>
      </c>
    </row>
    <row r="222" spans="1:10" x14ac:dyDescent="0.25">
      <c r="A222" t="s">
        <v>21</v>
      </c>
      <c r="B222">
        <v>2020</v>
      </c>
      <c r="C222">
        <v>558.59875</v>
      </c>
      <c r="D222">
        <v>288.02999999999997</v>
      </c>
      <c r="E222">
        <v>42.734999999999999</v>
      </c>
      <c r="F222">
        <v>21.866250000000001</v>
      </c>
      <c r="G222">
        <v>25.217500000000001</v>
      </c>
      <c r="H222">
        <v>1081.8</v>
      </c>
      <c r="I222">
        <v>2.4775</v>
      </c>
      <c r="J222" t="s">
        <v>11</v>
      </c>
    </row>
    <row r="223" spans="1:10" x14ac:dyDescent="0.25">
      <c r="A223" t="s">
        <v>21</v>
      </c>
      <c r="B223">
        <v>2021</v>
      </c>
      <c r="C223">
        <v>463.88666669999998</v>
      </c>
      <c r="D223">
        <v>277.4533333</v>
      </c>
      <c r="E223">
        <v>54.28</v>
      </c>
      <c r="F223">
        <v>26.783333330000001</v>
      </c>
      <c r="G223">
        <v>13.668333329999999</v>
      </c>
      <c r="H223">
        <v>1869.676667</v>
      </c>
      <c r="I223">
        <v>2.2999999999999998</v>
      </c>
      <c r="J223" t="s">
        <v>11</v>
      </c>
    </row>
    <row r="224" spans="1:10" x14ac:dyDescent="0.25">
      <c r="A224" t="s">
        <v>21</v>
      </c>
      <c r="B224">
        <v>2022</v>
      </c>
      <c r="C224">
        <v>622.54357140000002</v>
      </c>
      <c r="D224">
        <v>247.82071429999999</v>
      </c>
      <c r="E224">
        <v>53.534285709999999</v>
      </c>
      <c r="F224">
        <v>28.621428569999999</v>
      </c>
      <c r="G224">
        <v>25.91571429</v>
      </c>
      <c r="H224">
        <v>1504.516429</v>
      </c>
      <c r="I224">
        <v>2.1628571430000001</v>
      </c>
      <c r="J224" t="s">
        <v>11</v>
      </c>
    </row>
    <row r="225" spans="1:10" x14ac:dyDescent="0.25">
      <c r="A225" t="s">
        <v>21</v>
      </c>
      <c r="B225">
        <v>2023</v>
      </c>
      <c r="C225">
        <v>559.20500000000004</v>
      </c>
      <c r="D225">
        <v>237.04750000000001</v>
      </c>
      <c r="E225">
        <v>53.073333329999997</v>
      </c>
      <c r="F225">
        <v>28.7225</v>
      </c>
      <c r="G225">
        <v>21.2775</v>
      </c>
      <c r="H225">
        <v>1566.6258330000001</v>
      </c>
      <c r="I225">
        <v>3.3258333329999998</v>
      </c>
      <c r="J225" t="s">
        <v>11</v>
      </c>
    </row>
    <row r="226" spans="1:10" x14ac:dyDescent="0.25">
      <c r="A226" t="s">
        <v>21</v>
      </c>
      <c r="B226">
        <v>2024</v>
      </c>
      <c r="C226">
        <v>439.84636360000002</v>
      </c>
      <c r="D226">
        <v>366.26727269999998</v>
      </c>
      <c r="E226">
        <v>43.771818179999997</v>
      </c>
      <c r="F226">
        <v>22.86181818</v>
      </c>
      <c r="G226">
        <v>26.39</v>
      </c>
      <c r="H226">
        <v>1730.264545</v>
      </c>
      <c r="I226">
        <v>2.250909091</v>
      </c>
      <c r="J226" t="s">
        <v>12</v>
      </c>
    </row>
    <row r="227" spans="1:10" x14ac:dyDescent="0.25">
      <c r="A227" t="s">
        <v>22</v>
      </c>
      <c r="B227">
        <v>2000</v>
      </c>
      <c r="C227">
        <v>365.11833330000002</v>
      </c>
      <c r="D227">
        <v>398.7416667</v>
      </c>
      <c r="E227">
        <v>42.66333333</v>
      </c>
      <c r="F227">
        <v>22.914999999999999</v>
      </c>
      <c r="G227">
        <v>25.855</v>
      </c>
      <c r="H227">
        <v>1648.9449999999999</v>
      </c>
      <c r="I227">
        <v>2.4333333330000002</v>
      </c>
      <c r="J227" t="s">
        <v>12</v>
      </c>
    </row>
    <row r="228" spans="1:10" x14ac:dyDescent="0.25">
      <c r="A228" t="s">
        <v>22</v>
      </c>
      <c r="B228">
        <v>2001</v>
      </c>
      <c r="C228">
        <v>668.27800000000002</v>
      </c>
      <c r="D228">
        <v>238.97399999999999</v>
      </c>
      <c r="E228">
        <v>55.973999999999997</v>
      </c>
      <c r="F228">
        <v>21.93</v>
      </c>
      <c r="G228">
        <v>24.856000000000002</v>
      </c>
      <c r="H228">
        <v>978.38599999999997</v>
      </c>
      <c r="I228">
        <v>2.61</v>
      </c>
      <c r="J228" t="s">
        <v>11</v>
      </c>
    </row>
    <row r="229" spans="1:10" x14ac:dyDescent="0.25">
      <c r="A229" t="s">
        <v>22</v>
      </c>
      <c r="B229">
        <v>2002</v>
      </c>
      <c r="C229">
        <v>613.63142860000005</v>
      </c>
      <c r="D229">
        <v>285.0871429</v>
      </c>
      <c r="E229">
        <v>44.407857139999997</v>
      </c>
      <c r="F229">
        <v>28.24</v>
      </c>
      <c r="G229">
        <v>24.73285714</v>
      </c>
      <c r="H229">
        <v>1849.2757140000001</v>
      </c>
      <c r="I229">
        <v>1.9428571429999999</v>
      </c>
      <c r="J229" t="s">
        <v>11</v>
      </c>
    </row>
    <row r="230" spans="1:10" x14ac:dyDescent="0.25">
      <c r="A230" t="s">
        <v>22</v>
      </c>
      <c r="B230">
        <v>2003</v>
      </c>
      <c r="C230">
        <v>446.74900000000002</v>
      </c>
      <c r="D230">
        <v>250.30199999999999</v>
      </c>
      <c r="E230">
        <v>51.774999999999999</v>
      </c>
      <c r="F230">
        <v>23.841000000000001</v>
      </c>
      <c r="G230">
        <v>19.902999999999999</v>
      </c>
      <c r="H230">
        <v>1396.319</v>
      </c>
      <c r="I230">
        <v>1.931</v>
      </c>
      <c r="J230" t="s">
        <v>11</v>
      </c>
    </row>
    <row r="231" spans="1:10" x14ac:dyDescent="0.25">
      <c r="A231" t="s">
        <v>22</v>
      </c>
      <c r="B231">
        <v>2004</v>
      </c>
      <c r="C231">
        <v>604.73444440000003</v>
      </c>
      <c r="D231">
        <v>124.6977778</v>
      </c>
      <c r="E231">
        <v>46.646666670000002</v>
      </c>
      <c r="F231">
        <v>34.081111110000002</v>
      </c>
      <c r="G231">
        <v>26.06</v>
      </c>
      <c r="H231">
        <v>1317.36</v>
      </c>
      <c r="I231">
        <v>2.8955555560000001</v>
      </c>
      <c r="J231" t="s">
        <v>15</v>
      </c>
    </row>
    <row r="232" spans="1:10" x14ac:dyDescent="0.25">
      <c r="A232" t="s">
        <v>22</v>
      </c>
      <c r="B232">
        <v>2005</v>
      </c>
      <c r="C232">
        <v>482.91307690000002</v>
      </c>
      <c r="D232">
        <v>270.80769229999999</v>
      </c>
      <c r="E232">
        <v>55.452307689999998</v>
      </c>
      <c r="F232">
        <v>37.818461540000001</v>
      </c>
      <c r="G232">
        <v>26.71769231</v>
      </c>
      <c r="H232">
        <v>1916.1430769999999</v>
      </c>
      <c r="I232">
        <v>2.9353846149999998</v>
      </c>
      <c r="J232" t="s">
        <v>11</v>
      </c>
    </row>
    <row r="233" spans="1:10" x14ac:dyDescent="0.25">
      <c r="A233" t="s">
        <v>22</v>
      </c>
      <c r="B233">
        <v>2006</v>
      </c>
      <c r="C233">
        <v>383.60500000000002</v>
      </c>
      <c r="D233">
        <v>224.13249999999999</v>
      </c>
      <c r="E233">
        <v>52.29</v>
      </c>
      <c r="F233">
        <v>37.225000000000001</v>
      </c>
      <c r="G233">
        <v>24.61375</v>
      </c>
      <c r="H233">
        <v>1487.0574999999999</v>
      </c>
      <c r="I233">
        <v>2.4975000000000001</v>
      </c>
      <c r="J233" t="s">
        <v>11</v>
      </c>
    </row>
    <row r="234" spans="1:10" x14ac:dyDescent="0.25">
      <c r="A234" t="s">
        <v>22</v>
      </c>
      <c r="B234">
        <v>2007</v>
      </c>
      <c r="C234">
        <v>646.31818180000005</v>
      </c>
      <c r="D234">
        <v>250.3845455</v>
      </c>
      <c r="E234">
        <v>43.586363640000002</v>
      </c>
      <c r="F234">
        <v>25.74909091</v>
      </c>
      <c r="G234">
        <v>30.044545450000001</v>
      </c>
      <c r="H234">
        <v>1695.921818</v>
      </c>
      <c r="I234">
        <v>2.6609090910000002</v>
      </c>
      <c r="J234" t="s">
        <v>11</v>
      </c>
    </row>
    <row r="235" spans="1:10" x14ac:dyDescent="0.25">
      <c r="A235" t="s">
        <v>22</v>
      </c>
      <c r="B235">
        <v>2008</v>
      </c>
      <c r="C235">
        <v>476.84384619999997</v>
      </c>
      <c r="D235">
        <v>357.86692310000001</v>
      </c>
      <c r="E235">
        <v>45.556153850000001</v>
      </c>
      <c r="F235">
        <v>31.190769230000001</v>
      </c>
      <c r="G235">
        <v>23.78</v>
      </c>
      <c r="H235">
        <v>1389.6830769999999</v>
      </c>
      <c r="I235">
        <v>2.9546153849999999</v>
      </c>
      <c r="J235" t="s">
        <v>12</v>
      </c>
    </row>
    <row r="236" spans="1:10" x14ac:dyDescent="0.25">
      <c r="A236" t="s">
        <v>22</v>
      </c>
      <c r="B236">
        <v>2009</v>
      </c>
      <c r="C236">
        <v>417.70909089999998</v>
      </c>
      <c r="D236">
        <v>280.41272729999997</v>
      </c>
      <c r="E236">
        <v>47.056363640000001</v>
      </c>
      <c r="F236">
        <v>28.00545455</v>
      </c>
      <c r="G236">
        <v>23.357272729999998</v>
      </c>
      <c r="H236">
        <v>1162.7081820000001</v>
      </c>
      <c r="I236">
        <v>1.9272727270000001</v>
      </c>
      <c r="J236" t="s">
        <v>11</v>
      </c>
    </row>
    <row r="237" spans="1:10" x14ac:dyDescent="0.25">
      <c r="A237" t="s">
        <v>22</v>
      </c>
      <c r="B237">
        <v>2010</v>
      </c>
      <c r="C237">
        <v>631.625</v>
      </c>
      <c r="D237">
        <v>368.79</v>
      </c>
      <c r="E237">
        <v>53.954285710000001</v>
      </c>
      <c r="F237">
        <v>28.38357143</v>
      </c>
      <c r="G237">
        <v>28.014285709999999</v>
      </c>
      <c r="H237">
        <v>1575.729286</v>
      </c>
      <c r="I237">
        <v>2.7678571430000001</v>
      </c>
      <c r="J237" t="s">
        <v>12</v>
      </c>
    </row>
    <row r="238" spans="1:10" x14ac:dyDescent="0.25">
      <c r="A238" t="s">
        <v>22</v>
      </c>
      <c r="B238">
        <v>2011</v>
      </c>
      <c r="C238">
        <v>482.02222219999999</v>
      </c>
      <c r="D238">
        <v>234.09777779999999</v>
      </c>
      <c r="E238">
        <v>50.205555560000001</v>
      </c>
      <c r="F238">
        <v>29.924444439999998</v>
      </c>
      <c r="G238">
        <v>25.866666670000001</v>
      </c>
      <c r="H238">
        <v>1319.646667</v>
      </c>
      <c r="I238">
        <v>3.0355555559999998</v>
      </c>
      <c r="J238" t="s">
        <v>11</v>
      </c>
    </row>
    <row r="239" spans="1:10" x14ac:dyDescent="0.25">
      <c r="A239" t="s">
        <v>22</v>
      </c>
      <c r="B239">
        <v>2012</v>
      </c>
      <c r="C239">
        <v>574.14272730000005</v>
      </c>
      <c r="D239">
        <v>260.32909089999998</v>
      </c>
      <c r="E239">
        <v>50.85</v>
      </c>
      <c r="F239">
        <v>30.398181820000001</v>
      </c>
      <c r="G239">
        <v>24.06909091</v>
      </c>
      <c r="H239">
        <v>1862.157273</v>
      </c>
      <c r="I239">
        <v>1.685454545</v>
      </c>
      <c r="J239" t="s">
        <v>11</v>
      </c>
    </row>
    <row r="240" spans="1:10" x14ac:dyDescent="0.25">
      <c r="A240" t="s">
        <v>22</v>
      </c>
      <c r="B240">
        <v>2013</v>
      </c>
      <c r="C240">
        <v>549.90636359999996</v>
      </c>
      <c r="D240">
        <v>274.97909090000002</v>
      </c>
      <c r="E240">
        <v>52.976363640000002</v>
      </c>
      <c r="F240">
        <v>19.64545455</v>
      </c>
      <c r="G240">
        <v>25.163636360000002</v>
      </c>
      <c r="H240">
        <v>1063.2127270000001</v>
      </c>
      <c r="I240">
        <v>1.7636363639999999</v>
      </c>
      <c r="J240" t="s">
        <v>11</v>
      </c>
    </row>
    <row r="241" spans="1:10" x14ac:dyDescent="0.25">
      <c r="A241" t="s">
        <v>22</v>
      </c>
      <c r="B241">
        <v>2014</v>
      </c>
      <c r="C241">
        <v>453.47666670000001</v>
      </c>
      <c r="D241">
        <v>300.0493333</v>
      </c>
      <c r="E241">
        <v>50.884</v>
      </c>
      <c r="F241">
        <v>23.467333329999999</v>
      </c>
      <c r="G241">
        <v>25.620666669999999</v>
      </c>
      <c r="H241">
        <v>2214.6686669999999</v>
      </c>
      <c r="I241">
        <v>2.1286666670000001</v>
      </c>
      <c r="J241" t="s">
        <v>12</v>
      </c>
    </row>
    <row r="242" spans="1:10" x14ac:dyDescent="0.25">
      <c r="A242" t="s">
        <v>22</v>
      </c>
      <c r="B242">
        <v>2015</v>
      </c>
      <c r="C242">
        <v>493.0144444</v>
      </c>
      <c r="D242">
        <v>298.22111109999997</v>
      </c>
      <c r="E242">
        <v>55.563333329999999</v>
      </c>
      <c r="F242">
        <v>26.52333333</v>
      </c>
      <c r="G242">
        <v>26.713333330000001</v>
      </c>
      <c r="H242">
        <v>1550.2533330000001</v>
      </c>
      <c r="I242">
        <v>2.7911111110000002</v>
      </c>
      <c r="J242" t="s">
        <v>11</v>
      </c>
    </row>
    <row r="243" spans="1:10" x14ac:dyDescent="0.25">
      <c r="A243" t="s">
        <v>22</v>
      </c>
      <c r="B243">
        <v>2016</v>
      </c>
      <c r="C243">
        <v>602.21</v>
      </c>
      <c r="D243">
        <v>262.58777780000003</v>
      </c>
      <c r="E243">
        <v>45.87</v>
      </c>
      <c r="F243">
        <v>31.447777779999999</v>
      </c>
      <c r="G243">
        <v>25.356666669999999</v>
      </c>
      <c r="H243">
        <v>1379.187778</v>
      </c>
      <c r="I243">
        <v>3.2922222219999999</v>
      </c>
      <c r="J243" t="s">
        <v>11</v>
      </c>
    </row>
    <row r="244" spans="1:10" x14ac:dyDescent="0.25">
      <c r="A244" t="s">
        <v>22</v>
      </c>
      <c r="B244">
        <v>2017</v>
      </c>
      <c r="C244">
        <v>433.6275</v>
      </c>
      <c r="D244">
        <v>309.35750000000002</v>
      </c>
      <c r="E244">
        <v>43.678750000000001</v>
      </c>
      <c r="F244">
        <v>28.216249999999999</v>
      </c>
      <c r="G244">
        <v>24.945</v>
      </c>
      <c r="H244">
        <v>1831.33125</v>
      </c>
      <c r="I244">
        <v>3.4550000000000001</v>
      </c>
      <c r="J244" t="s">
        <v>12</v>
      </c>
    </row>
    <row r="245" spans="1:10" x14ac:dyDescent="0.25">
      <c r="A245" t="s">
        <v>22</v>
      </c>
      <c r="B245">
        <v>2018</v>
      </c>
      <c r="C245">
        <v>488.01285710000002</v>
      </c>
      <c r="D245">
        <v>282.95571430000001</v>
      </c>
      <c r="E245">
        <v>51.951428569999997</v>
      </c>
      <c r="F245">
        <v>31.781428569999999</v>
      </c>
      <c r="G245">
        <v>23.84857143</v>
      </c>
      <c r="H245">
        <v>1590.2414289999999</v>
      </c>
      <c r="I245">
        <v>2.5471428569999999</v>
      </c>
      <c r="J245" t="s">
        <v>11</v>
      </c>
    </row>
    <row r="246" spans="1:10" x14ac:dyDescent="0.25">
      <c r="A246" t="s">
        <v>22</v>
      </c>
      <c r="B246">
        <v>2019</v>
      </c>
      <c r="C246">
        <v>586.18499999999995</v>
      </c>
      <c r="D246">
        <v>373.99666669999999</v>
      </c>
      <c r="E246">
        <v>48.89</v>
      </c>
      <c r="F246">
        <v>23.715833329999999</v>
      </c>
      <c r="G246">
        <v>21.662500000000001</v>
      </c>
      <c r="H246">
        <v>1670.7858329999999</v>
      </c>
      <c r="I246">
        <v>2.5416666669999999</v>
      </c>
      <c r="J246" t="s">
        <v>12</v>
      </c>
    </row>
    <row r="247" spans="1:10" x14ac:dyDescent="0.25">
      <c r="A247" t="s">
        <v>22</v>
      </c>
      <c r="B247">
        <v>2020</v>
      </c>
      <c r="C247">
        <v>299.43428569999998</v>
      </c>
      <c r="D247">
        <v>313.2171429</v>
      </c>
      <c r="E247">
        <v>57.964285709999999</v>
      </c>
      <c r="F247">
        <v>29.402857139999998</v>
      </c>
      <c r="G247">
        <v>25.248571429999998</v>
      </c>
      <c r="H247">
        <v>977.39571430000001</v>
      </c>
      <c r="I247">
        <v>1.7414285709999999</v>
      </c>
      <c r="J247" t="s">
        <v>12</v>
      </c>
    </row>
    <row r="248" spans="1:10" x14ac:dyDescent="0.25">
      <c r="A248" t="s">
        <v>22</v>
      </c>
      <c r="B248">
        <v>2021</v>
      </c>
      <c r="C248">
        <v>417.9846154</v>
      </c>
      <c r="D248">
        <v>293.05538460000002</v>
      </c>
      <c r="E248">
        <v>48.103076919999999</v>
      </c>
      <c r="F248">
        <v>31.926153849999999</v>
      </c>
      <c r="G248">
        <v>19.651538460000001</v>
      </c>
      <c r="H248">
        <v>1756.885385</v>
      </c>
      <c r="I248">
        <v>2.2207692309999998</v>
      </c>
      <c r="J248" t="s">
        <v>11</v>
      </c>
    </row>
    <row r="249" spans="1:10" x14ac:dyDescent="0.25">
      <c r="A249" t="s">
        <v>22</v>
      </c>
      <c r="B249">
        <v>2022</v>
      </c>
      <c r="C249">
        <v>473.964</v>
      </c>
      <c r="D249">
        <v>264.601</v>
      </c>
      <c r="E249">
        <v>51.204999999999998</v>
      </c>
      <c r="F249">
        <v>32.021000000000001</v>
      </c>
      <c r="G249">
        <v>23.228000000000002</v>
      </c>
      <c r="H249">
        <v>1585.308</v>
      </c>
      <c r="I249">
        <v>2.512</v>
      </c>
      <c r="J249" t="s">
        <v>11</v>
      </c>
    </row>
    <row r="250" spans="1:10" x14ac:dyDescent="0.25">
      <c r="A250" t="s">
        <v>22</v>
      </c>
      <c r="B250">
        <v>2023</v>
      </c>
      <c r="C250">
        <v>438.42399999999998</v>
      </c>
      <c r="D250">
        <v>264.43200000000002</v>
      </c>
      <c r="E250">
        <v>50.878</v>
      </c>
      <c r="F250">
        <v>18.286000000000001</v>
      </c>
      <c r="G250">
        <v>30.731000000000002</v>
      </c>
      <c r="H250">
        <v>1880.0540000000001</v>
      </c>
      <c r="I250">
        <v>2.2189999999999999</v>
      </c>
      <c r="J250" t="s">
        <v>11</v>
      </c>
    </row>
    <row r="251" spans="1:10" x14ac:dyDescent="0.25">
      <c r="A251" t="s">
        <v>22</v>
      </c>
      <c r="B251">
        <v>2024</v>
      </c>
      <c r="C251">
        <v>419.70142859999999</v>
      </c>
      <c r="D251">
        <v>322.83</v>
      </c>
      <c r="E251">
        <v>42.855714290000002</v>
      </c>
      <c r="F251">
        <v>25.835714289999999</v>
      </c>
      <c r="G251">
        <v>22.138571429999999</v>
      </c>
      <c r="H251">
        <v>1516.604286</v>
      </c>
      <c r="I251">
        <v>2.4257142859999998</v>
      </c>
      <c r="J251" t="s">
        <v>12</v>
      </c>
    </row>
    <row r="252" spans="1:10" x14ac:dyDescent="0.25">
      <c r="A252" t="s">
        <v>23</v>
      </c>
      <c r="B252">
        <v>2000</v>
      </c>
      <c r="C252">
        <v>605.25666669999998</v>
      </c>
      <c r="D252">
        <v>282.85833330000003</v>
      </c>
      <c r="E252">
        <v>50.405000000000001</v>
      </c>
      <c r="F252">
        <v>26.696666669999999</v>
      </c>
      <c r="G252">
        <v>25.071666669999999</v>
      </c>
      <c r="H252">
        <v>2079.768333</v>
      </c>
      <c r="I252">
        <v>3.8849999999999998</v>
      </c>
      <c r="J252" t="s">
        <v>11</v>
      </c>
    </row>
    <row r="253" spans="1:10" x14ac:dyDescent="0.25">
      <c r="A253" t="s">
        <v>23</v>
      </c>
      <c r="B253">
        <v>2001</v>
      </c>
      <c r="C253">
        <v>549.42700000000002</v>
      </c>
      <c r="D253">
        <v>293.66199999999998</v>
      </c>
      <c r="E253">
        <v>51.609000000000002</v>
      </c>
      <c r="F253">
        <v>31.295999999999999</v>
      </c>
      <c r="G253">
        <v>25.998999999999999</v>
      </c>
      <c r="H253">
        <v>1716.702</v>
      </c>
      <c r="I253">
        <v>2.4700000000000002</v>
      </c>
      <c r="J253" t="s">
        <v>11</v>
      </c>
    </row>
    <row r="254" spans="1:10" x14ac:dyDescent="0.25">
      <c r="A254" t="s">
        <v>23</v>
      </c>
      <c r="B254">
        <v>2002</v>
      </c>
      <c r="C254">
        <v>499.05833330000002</v>
      </c>
      <c r="D254">
        <v>244.62916670000001</v>
      </c>
      <c r="E254">
        <v>50.7425</v>
      </c>
      <c r="F254">
        <v>28.01</v>
      </c>
      <c r="G254">
        <v>21.96166667</v>
      </c>
      <c r="H254">
        <v>1308.2033329999999</v>
      </c>
      <c r="I254">
        <v>2.1366666670000001</v>
      </c>
      <c r="J254" t="s">
        <v>11</v>
      </c>
    </row>
    <row r="255" spans="1:10" x14ac:dyDescent="0.25">
      <c r="A255" t="s">
        <v>23</v>
      </c>
      <c r="B255">
        <v>2003</v>
      </c>
      <c r="C255">
        <v>560.35599999999999</v>
      </c>
      <c r="D255">
        <v>262.80466669999998</v>
      </c>
      <c r="E255">
        <v>46.018000000000001</v>
      </c>
      <c r="F255">
        <v>31.832666669999998</v>
      </c>
      <c r="G255">
        <v>23.173999999999999</v>
      </c>
      <c r="H255">
        <v>1422.6526670000001</v>
      </c>
      <c r="I255">
        <v>2.3380000000000001</v>
      </c>
      <c r="J255" t="s">
        <v>11</v>
      </c>
    </row>
    <row r="256" spans="1:10" x14ac:dyDescent="0.25">
      <c r="A256" t="s">
        <v>23</v>
      </c>
      <c r="B256">
        <v>2004</v>
      </c>
      <c r="C256">
        <v>437.505</v>
      </c>
      <c r="D256">
        <v>248.04166670000001</v>
      </c>
      <c r="E256">
        <v>56.608333330000001</v>
      </c>
      <c r="F256">
        <v>32.178333330000001</v>
      </c>
      <c r="G256">
        <v>24.783333330000001</v>
      </c>
      <c r="H256">
        <v>1580.083333</v>
      </c>
      <c r="I256">
        <v>2.1183333329999998</v>
      </c>
      <c r="J256" t="s">
        <v>11</v>
      </c>
    </row>
    <row r="257" spans="1:10" x14ac:dyDescent="0.25">
      <c r="A257" t="s">
        <v>23</v>
      </c>
      <c r="B257">
        <v>2005</v>
      </c>
      <c r="C257">
        <v>456.06</v>
      </c>
      <c r="D257">
        <v>360.43166669999999</v>
      </c>
      <c r="E257">
        <v>28.905000000000001</v>
      </c>
      <c r="F257">
        <v>29.17</v>
      </c>
      <c r="G257">
        <v>28.085000000000001</v>
      </c>
      <c r="H257">
        <v>1240.2533330000001</v>
      </c>
      <c r="I257">
        <v>2.9750000000000001</v>
      </c>
      <c r="J257" t="s">
        <v>12</v>
      </c>
    </row>
    <row r="258" spans="1:10" x14ac:dyDescent="0.25">
      <c r="A258" t="s">
        <v>23</v>
      </c>
      <c r="B258">
        <v>2006</v>
      </c>
      <c r="C258">
        <v>463.24</v>
      </c>
      <c r="D258">
        <v>365.94</v>
      </c>
      <c r="E258">
        <v>44.77</v>
      </c>
      <c r="F258">
        <v>33.964285709999999</v>
      </c>
      <c r="G258">
        <v>29.82857143</v>
      </c>
      <c r="H258">
        <v>1723.55</v>
      </c>
      <c r="I258">
        <v>2.5099999999999998</v>
      </c>
      <c r="J258" t="s">
        <v>12</v>
      </c>
    </row>
    <row r="259" spans="1:10" x14ac:dyDescent="0.25">
      <c r="A259" t="s">
        <v>23</v>
      </c>
      <c r="B259">
        <v>2007</v>
      </c>
      <c r="C259">
        <v>402.7142857</v>
      </c>
      <c r="D259">
        <v>285.48714289999998</v>
      </c>
      <c r="E259">
        <v>57.567142859999997</v>
      </c>
      <c r="F259">
        <v>23.135714289999999</v>
      </c>
      <c r="G259">
        <v>27.507142859999998</v>
      </c>
      <c r="H259">
        <v>1596.588571</v>
      </c>
      <c r="I259">
        <v>1.928571429</v>
      </c>
      <c r="J259" t="s">
        <v>11</v>
      </c>
    </row>
    <row r="260" spans="1:10" x14ac:dyDescent="0.25">
      <c r="A260" t="s">
        <v>23</v>
      </c>
      <c r="B260">
        <v>2008</v>
      </c>
      <c r="C260">
        <v>392.91699999999997</v>
      </c>
      <c r="D260">
        <v>220.327</v>
      </c>
      <c r="E260">
        <v>46.151000000000003</v>
      </c>
      <c r="F260">
        <v>34.807000000000002</v>
      </c>
      <c r="G260">
        <v>21.849</v>
      </c>
      <c r="H260">
        <v>1556.8530000000001</v>
      </c>
      <c r="I260">
        <v>1.8979999999999999</v>
      </c>
      <c r="J260" t="s">
        <v>11</v>
      </c>
    </row>
    <row r="261" spans="1:10" x14ac:dyDescent="0.25">
      <c r="A261" t="s">
        <v>23</v>
      </c>
      <c r="B261">
        <v>2009</v>
      </c>
      <c r="C261">
        <v>610.65</v>
      </c>
      <c r="D261">
        <v>278.154</v>
      </c>
      <c r="E261">
        <v>51.512</v>
      </c>
      <c r="F261">
        <v>33.414000000000001</v>
      </c>
      <c r="G261">
        <v>22.852</v>
      </c>
      <c r="H261">
        <v>973.14400000000001</v>
      </c>
      <c r="I261">
        <v>2.44</v>
      </c>
      <c r="J261" t="s">
        <v>11</v>
      </c>
    </row>
    <row r="262" spans="1:10" x14ac:dyDescent="0.25">
      <c r="A262" t="s">
        <v>23</v>
      </c>
      <c r="B262">
        <v>2010</v>
      </c>
      <c r="C262">
        <v>441.60384620000002</v>
      </c>
      <c r="D262">
        <v>250.6561538</v>
      </c>
      <c r="E262">
        <v>48.163846149999998</v>
      </c>
      <c r="F262">
        <v>27.156923079999999</v>
      </c>
      <c r="G262">
        <v>22.44230769</v>
      </c>
      <c r="H262">
        <v>1379.1284619999999</v>
      </c>
      <c r="I262">
        <v>2.3576923079999998</v>
      </c>
      <c r="J262" t="s">
        <v>11</v>
      </c>
    </row>
    <row r="263" spans="1:10" x14ac:dyDescent="0.25">
      <c r="A263" t="s">
        <v>23</v>
      </c>
      <c r="B263">
        <v>2011</v>
      </c>
      <c r="C263">
        <v>559.70000000000005</v>
      </c>
      <c r="D263">
        <v>313.43124999999998</v>
      </c>
      <c r="E263">
        <v>52.77</v>
      </c>
      <c r="F263">
        <v>28.69125</v>
      </c>
      <c r="G263">
        <v>23.74</v>
      </c>
      <c r="H263">
        <v>1103.3087499999999</v>
      </c>
      <c r="I263">
        <v>2.5024999999999999</v>
      </c>
      <c r="J263" t="s">
        <v>12</v>
      </c>
    </row>
    <row r="264" spans="1:10" x14ac:dyDescent="0.25">
      <c r="A264" t="s">
        <v>23</v>
      </c>
      <c r="B264">
        <v>2012</v>
      </c>
      <c r="C264">
        <v>526.375</v>
      </c>
      <c r="D264">
        <v>205.20124999999999</v>
      </c>
      <c r="E264">
        <v>59.798749999999998</v>
      </c>
      <c r="F264">
        <v>17.805</v>
      </c>
      <c r="G264">
        <v>26.49625</v>
      </c>
      <c r="H264">
        <v>1247.94</v>
      </c>
      <c r="I264">
        <v>2.5612499999999998</v>
      </c>
      <c r="J264" t="s">
        <v>11</v>
      </c>
    </row>
    <row r="265" spans="1:10" x14ac:dyDescent="0.25">
      <c r="A265" t="s">
        <v>23</v>
      </c>
      <c r="B265">
        <v>2013</v>
      </c>
      <c r="C265">
        <v>476.15444439999999</v>
      </c>
      <c r="D265">
        <v>258.76555560000003</v>
      </c>
      <c r="E265">
        <v>51.792222219999999</v>
      </c>
      <c r="F265">
        <v>37.928888890000003</v>
      </c>
      <c r="G265">
        <v>25.175555559999999</v>
      </c>
      <c r="H265">
        <v>2137.8266669999998</v>
      </c>
      <c r="I265">
        <v>1.6055555560000001</v>
      </c>
      <c r="J265" t="s">
        <v>11</v>
      </c>
    </row>
    <row r="266" spans="1:10" x14ac:dyDescent="0.25">
      <c r="A266" t="s">
        <v>23</v>
      </c>
      <c r="B266">
        <v>2014</v>
      </c>
      <c r="C266">
        <v>536.50888889999999</v>
      </c>
      <c r="D266">
        <v>248.0744444</v>
      </c>
      <c r="E266">
        <v>47.611111110000003</v>
      </c>
      <c r="F266">
        <v>21.34222222</v>
      </c>
      <c r="G266">
        <v>22.66111111</v>
      </c>
      <c r="H266">
        <v>1876.2633330000001</v>
      </c>
      <c r="I266">
        <v>2.4355555560000002</v>
      </c>
      <c r="J266" t="s">
        <v>11</v>
      </c>
    </row>
    <row r="267" spans="1:10" x14ac:dyDescent="0.25">
      <c r="A267" t="s">
        <v>23</v>
      </c>
      <c r="B267">
        <v>2015</v>
      </c>
      <c r="C267">
        <v>410.56428570000003</v>
      </c>
      <c r="D267">
        <v>285.11571429999998</v>
      </c>
      <c r="E267">
        <v>45.184285709999997</v>
      </c>
      <c r="F267">
        <v>25.38428571</v>
      </c>
      <c r="G267">
        <v>28.467142859999999</v>
      </c>
      <c r="H267">
        <v>1414.3057140000001</v>
      </c>
      <c r="I267">
        <v>2.4700000000000002</v>
      </c>
      <c r="J267" t="s">
        <v>11</v>
      </c>
    </row>
    <row r="268" spans="1:10" x14ac:dyDescent="0.25">
      <c r="A268" t="s">
        <v>23</v>
      </c>
      <c r="B268">
        <v>2016</v>
      </c>
      <c r="C268">
        <v>615.87076920000004</v>
      </c>
      <c r="D268">
        <v>248.11769229999999</v>
      </c>
      <c r="E268">
        <v>55.42307692</v>
      </c>
      <c r="F268">
        <v>27.03230769</v>
      </c>
      <c r="G268">
        <v>26.009230769999999</v>
      </c>
      <c r="H268">
        <v>2127.2199999999998</v>
      </c>
      <c r="I268">
        <v>2.7223076919999998</v>
      </c>
      <c r="J268" t="s">
        <v>11</v>
      </c>
    </row>
    <row r="269" spans="1:10" x14ac:dyDescent="0.25">
      <c r="A269" t="s">
        <v>23</v>
      </c>
      <c r="B269">
        <v>2017</v>
      </c>
      <c r="C269">
        <v>576.04222219999997</v>
      </c>
      <c r="D269">
        <v>211.93777779999999</v>
      </c>
      <c r="E269">
        <v>49.09333333</v>
      </c>
      <c r="F269">
        <v>24.06888889</v>
      </c>
      <c r="G269">
        <v>27.211111110000001</v>
      </c>
      <c r="H269">
        <v>1715.2644439999999</v>
      </c>
      <c r="I269">
        <v>2.2966666670000002</v>
      </c>
      <c r="J269" t="s">
        <v>11</v>
      </c>
    </row>
    <row r="270" spans="1:10" x14ac:dyDescent="0.25">
      <c r="A270" t="s">
        <v>23</v>
      </c>
      <c r="B270">
        <v>2018</v>
      </c>
      <c r="C270">
        <v>664.3883333</v>
      </c>
      <c r="D270">
        <v>290.58333329999999</v>
      </c>
      <c r="E270">
        <v>37.623333330000001</v>
      </c>
      <c r="F270">
        <v>31.048333329999998</v>
      </c>
      <c r="G270">
        <v>25.97</v>
      </c>
      <c r="H270">
        <v>1057.1833329999999</v>
      </c>
      <c r="I270">
        <v>3.4083333329999999</v>
      </c>
      <c r="J270" t="s">
        <v>11</v>
      </c>
    </row>
    <row r="271" spans="1:10" x14ac:dyDescent="0.25">
      <c r="A271" t="s">
        <v>23</v>
      </c>
      <c r="B271">
        <v>2019</v>
      </c>
      <c r="C271">
        <v>582.87230769999996</v>
      </c>
      <c r="D271">
        <v>241.01769229999999</v>
      </c>
      <c r="E271">
        <v>45.564615379999999</v>
      </c>
      <c r="F271">
        <v>30.946153850000002</v>
      </c>
      <c r="G271">
        <v>25.16769231</v>
      </c>
      <c r="H271">
        <v>1788.1492310000001</v>
      </c>
      <c r="I271">
        <v>2.3784615379999998</v>
      </c>
      <c r="J271" t="s">
        <v>11</v>
      </c>
    </row>
    <row r="272" spans="1:10" x14ac:dyDescent="0.25">
      <c r="A272" t="s">
        <v>23</v>
      </c>
      <c r="B272">
        <v>2020</v>
      </c>
      <c r="C272">
        <v>211.81666670000001</v>
      </c>
      <c r="D272">
        <v>275.44333330000001</v>
      </c>
      <c r="E272">
        <v>63.69</v>
      </c>
      <c r="F272">
        <v>25.293333329999999</v>
      </c>
      <c r="G272">
        <v>20.76</v>
      </c>
      <c r="H272">
        <v>2151.44</v>
      </c>
      <c r="I272">
        <v>1.9666666669999999</v>
      </c>
      <c r="J272" t="s">
        <v>11</v>
      </c>
    </row>
    <row r="273" spans="1:10" x14ac:dyDescent="0.25">
      <c r="A273" t="s">
        <v>23</v>
      </c>
      <c r="B273">
        <v>2021</v>
      </c>
      <c r="C273">
        <v>423.3775</v>
      </c>
      <c r="D273">
        <v>323.10124999999999</v>
      </c>
      <c r="E273">
        <v>45.988750000000003</v>
      </c>
      <c r="F273">
        <v>30.557500000000001</v>
      </c>
      <c r="G273">
        <v>28.137499999999999</v>
      </c>
      <c r="H273">
        <v>1272.9024999999999</v>
      </c>
      <c r="I273">
        <v>3.12</v>
      </c>
      <c r="J273" t="s">
        <v>12</v>
      </c>
    </row>
    <row r="274" spans="1:10" x14ac:dyDescent="0.25">
      <c r="A274" t="s">
        <v>23</v>
      </c>
      <c r="B274">
        <v>2022</v>
      </c>
      <c r="C274">
        <v>615.154</v>
      </c>
      <c r="D274">
        <v>217.178</v>
      </c>
      <c r="E274">
        <v>51.731999999999999</v>
      </c>
      <c r="F274">
        <v>35.159999999999997</v>
      </c>
      <c r="G274">
        <v>23.86</v>
      </c>
      <c r="H274">
        <v>2533.6779999999999</v>
      </c>
      <c r="I274">
        <v>2.2480000000000002</v>
      </c>
      <c r="J274" t="s">
        <v>11</v>
      </c>
    </row>
    <row r="275" spans="1:10" x14ac:dyDescent="0.25">
      <c r="A275" t="s">
        <v>23</v>
      </c>
      <c r="B275">
        <v>2023</v>
      </c>
      <c r="C275">
        <v>345.69400000000002</v>
      </c>
      <c r="D275">
        <v>303.654</v>
      </c>
      <c r="E275">
        <v>47.402000000000001</v>
      </c>
      <c r="F275">
        <v>25.297999999999998</v>
      </c>
      <c r="G275">
        <v>25.885999999999999</v>
      </c>
      <c r="H275">
        <v>976.54200000000003</v>
      </c>
      <c r="I275">
        <v>2.9420000000000002</v>
      </c>
      <c r="J275" t="s">
        <v>12</v>
      </c>
    </row>
    <row r="276" spans="1:10" x14ac:dyDescent="0.25">
      <c r="A276" t="s">
        <v>23</v>
      </c>
      <c r="B276">
        <v>2024</v>
      </c>
      <c r="C276">
        <v>622.37666669999999</v>
      </c>
      <c r="D276">
        <v>240.05833329999999</v>
      </c>
      <c r="E276">
        <v>51.853333329999998</v>
      </c>
      <c r="F276">
        <v>28.32833333</v>
      </c>
      <c r="G276">
        <v>21.41333333</v>
      </c>
      <c r="H276">
        <v>1524.228333</v>
      </c>
      <c r="I276">
        <v>1.54</v>
      </c>
      <c r="J276" t="s">
        <v>11</v>
      </c>
    </row>
    <row r="277" spans="1:10" x14ac:dyDescent="0.25">
      <c r="A277" t="s">
        <v>24</v>
      </c>
      <c r="B277">
        <v>2000</v>
      </c>
      <c r="C277">
        <v>529.03250000000003</v>
      </c>
      <c r="D277">
        <v>252.6575</v>
      </c>
      <c r="E277">
        <v>47.167499999999997</v>
      </c>
      <c r="F277">
        <v>32.756250000000001</v>
      </c>
      <c r="G277">
        <v>21.59</v>
      </c>
      <c r="H277">
        <v>1518.33</v>
      </c>
      <c r="I277">
        <v>2.6837499999999999</v>
      </c>
      <c r="J277" t="s">
        <v>11</v>
      </c>
    </row>
    <row r="278" spans="1:10" x14ac:dyDescent="0.25">
      <c r="A278" t="s">
        <v>24</v>
      </c>
      <c r="B278">
        <v>2001</v>
      </c>
      <c r="C278">
        <v>471.77090909999998</v>
      </c>
      <c r="D278">
        <v>269.47000000000003</v>
      </c>
      <c r="E278">
        <v>41.807272730000001</v>
      </c>
      <c r="F278">
        <v>32.288181819999998</v>
      </c>
      <c r="G278">
        <v>25.15</v>
      </c>
      <c r="H278">
        <v>997.62272729999995</v>
      </c>
      <c r="I278">
        <v>2.616363636</v>
      </c>
      <c r="J278" t="s">
        <v>11</v>
      </c>
    </row>
    <row r="279" spans="1:10" x14ac:dyDescent="0.25">
      <c r="A279" t="s">
        <v>24</v>
      </c>
      <c r="B279">
        <v>2002</v>
      </c>
      <c r="C279">
        <v>279.07100000000003</v>
      </c>
      <c r="D279">
        <v>139.86099999999999</v>
      </c>
      <c r="E279">
        <v>54.664999999999999</v>
      </c>
      <c r="F279">
        <v>22.814</v>
      </c>
      <c r="G279">
        <v>20.088999999999999</v>
      </c>
      <c r="H279">
        <v>1182.4280000000001</v>
      </c>
      <c r="I279">
        <v>2.5640000000000001</v>
      </c>
      <c r="J279" t="s">
        <v>15</v>
      </c>
    </row>
    <row r="280" spans="1:10" x14ac:dyDescent="0.25">
      <c r="A280" t="s">
        <v>24</v>
      </c>
      <c r="B280">
        <v>2003</v>
      </c>
      <c r="C280">
        <v>504.06625000000003</v>
      </c>
      <c r="D280">
        <v>304.75</v>
      </c>
      <c r="E280">
        <v>55.747500000000002</v>
      </c>
      <c r="F280">
        <v>28.848749999999999</v>
      </c>
      <c r="G280">
        <v>29.126249999999999</v>
      </c>
      <c r="H280">
        <v>1651.06125</v>
      </c>
      <c r="I280">
        <v>3.4125000000000001</v>
      </c>
      <c r="J280" t="s">
        <v>12</v>
      </c>
    </row>
    <row r="281" spans="1:10" x14ac:dyDescent="0.25">
      <c r="A281" t="s">
        <v>24</v>
      </c>
      <c r="B281">
        <v>2004</v>
      </c>
      <c r="C281">
        <v>524.30777780000005</v>
      </c>
      <c r="D281">
        <v>302.49222220000001</v>
      </c>
      <c r="E281">
        <v>45.334444439999999</v>
      </c>
      <c r="F281">
        <v>25.66</v>
      </c>
      <c r="G281">
        <v>26.573333330000001</v>
      </c>
      <c r="H281">
        <v>2115.708889</v>
      </c>
      <c r="I281">
        <v>2.5788888889999999</v>
      </c>
      <c r="J281" t="s">
        <v>12</v>
      </c>
    </row>
    <row r="282" spans="1:10" x14ac:dyDescent="0.25">
      <c r="A282" t="s">
        <v>24</v>
      </c>
      <c r="B282">
        <v>2005</v>
      </c>
      <c r="C282">
        <v>511.0575</v>
      </c>
      <c r="D282">
        <v>217.07</v>
      </c>
      <c r="E282">
        <v>55.832500000000003</v>
      </c>
      <c r="F282">
        <v>29.022500000000001</v>
      </c>
      <c r="G282">
        <v>19.914999999999999</v>
      </c>
      <c r="H282">
        <v>1283.9425000000001</v>
      </c>
      <c r="I282">
        <v>1.615</v>
      </c>
      <c r="J282" t="s">
        <v>11</v>
      </c>
    </row>
    <row r="283" spans="1:10" x14ac:dyDescent="0.25">
      <c r="A283" t="s">
        <v>24</v>
      </c>
      <c r="B283">
        <v>2006</v>
      </c>
      <c r="C283">
        <v>447.81</v>
      </c>
      <c r="D283">
        <v>338.596</v>
      </c>
      <c r="E283">
        <v>40.47</v>
      </c>
      <c r="F283">
        <v>19.962</v>
      </c>
      <c r="G283">
        <v>16.608000000000001</v>
      </c>
      <c r="H283">
        <v>1297.068</v>
      </c>
      <c r="I283">
        <v>2.8159999999999998</v>
      </c>
      <c r="J283" t="s">
        <v>12</v>
      </c>
    </row>
    <row r="284" spans="1:10" x14ac:dyDescent="0.25">
      <c r="A284" t="s">
        <v>24</v>
      </c>
      <c r="B284">
        <v>2007</v>
      </c>
      <c r="C284">
        <v>527.21941179999999</v>
      </c>
      <c r="D284">
        <v>281.46705880000002</v>
      </c>
      <c r="E284">
        <v>50.69</v>
      </c>
      <c r="F284">
        <v>28.983529409999999</v>
      </c>
      <c r="G284">
        <v>22.660588239999999</v>
      </c>
      <c r="H284">
        <v>1214.2605880000001</v>
      </c>
      <c r="I284">
        <v>2.8229411760000001</v>
      </c>
      <c r="J284" t="s">
        <v>11</v>
      </c>
    </row>
    <row r="285" spans="1:10" x14ac:dyDescent="0.25">
      <c r="A285" t="s">
        <v>24</v>
      </c>
      <c r="B285">
        <v>2008</v>
      </c>
      <c r="C285">
        <v>481.40272729999998</v>
      </c>
      <c r="D285">
        <v>209.2172727</v>
      </c>
      <c r="E285">
        <v>41.34727273</v>
      </c>
      <c r="F285">
        <v>24.899090910000002</v>
      </c>
      <c r="G285">
        <v>25.523636360000001</v>
      </c>
      <c r="H285">
        <v>1555.136364</v>
      </c>
      <c r="I285">
        <v>3.3909090910000002</v>
      </c>
      <c r="J285" t="s">
        <v>11</v>
      </c>
    </row>
    <row r="286" spans="1:10" x14ac:dyDescent="0.25">
      <c r="A286" t="s">
        <v>24</v>
      </c>
      <c r="B286">
        <v>2009</v>
      </c>
      <c r="C286">
        <v>390.41181820000003</v>
      </c>
      <c r="D286">
        <v>267.83818179999997</v>
      </c>
      <c r="E286">
        <v>48.481818179999998</v>
      </c>
      <c r="F286">
        <v>27.357272729999998</v>
      </c>
      <c r="G286">
        <v>30.72</v>
      </c>
      <c r="H286">
        <v>1087.1981820000001</v>
      </c>
      <c r="I286">
        <v>3.1454545450000002</v>
      </c>
      <c r="J286" t="s">
        <v>11</v>
      </c>
    </row>
    <row r="287" spans="1:10" x14ac:dyDescent="0.25">
      <c r="A287" t="s">
        <v>24</v>
      </c>
      <c r="B287">
        <v>2010</v>
      </c>
      <c r="C287">
        <v>382.29374999999999</v>
      </c>
      <c r="D287">
        <v>253.97499999999999</v>
      </c>
      <c r="E287">
        <v>49.49</v>
      </c>
      <c r="F287">
        <v>24.07</v>
      </c>
      <c r="G287">
        <v>24.127500000000001</v>
      </c>
      <c r="H287">
        <v>1290.6937499999999</v>
      </c>
      <c r="I287">
        <v>2.9112499999999999</v>
      </c>
      <c r="J287" t="s">
        <v>11</v>
      </c>
    </row>
    <row r="288" spans="1:10" x14ac:dyDescent="0.25">
      <c r="A288" t="s">
        <v>24</v>
      </c>
      <c r="B288">
        <v>2011</v>
      </c>
      <c r="C288">
        <v>495.20555560000003</v>
      </c>
      <c r="D288">
        <v>295.89111109999999</v>
      </c>
      <c r="E288">
        <v>54.737777780000002</v>
      </c>
      <c r="F288">
        <v>29.811111109999999</v>
      </c>
      <c r="G288">
        <v>23.833333329999999</v>
      </c>
      <c r="H288">
        <v>1816.573333</v>
      </c>
      <c r="I288">
        <v>2.3311111109999998</v>
      </c>
      <c r="J288" t="s">
        <v>11</v>
      </c>
    </row>
    <row r="289" spans="1:10" x14ac:dyDescent="0.25">
      <c r="A289" t="s">
        <v>24</v>
      </c>
      <c r="B289">
        <v>2012</v>
      </c>
      <c r="C289">
        <v>500.08800000000002</v>
      </c>
      <c r="D289">
        <v>279.92599999999999</v>
      </c>
      <c r="E289">
        <v>51.402000000000001</v>
      </c>
      <c r="F289">
        <v>24.771999999999998</v>
      </c>
      <c r="G289">
        <v>29.212</v>
      </c>
      <c r="H289">
        <v>1884.5640000000001</v>
      </c>
      <c r="I289">
        <v>4.3220000000000001</v>
      </c>
      <c r="J289" t="s">
        <v>11</v>
      </c>
    </row>
    <row r="290" spans="1:10" x14ac:dyDescent="0.25">
      <c r="A290" t="s">
        <v>24</v>
      </c>
      <c r="B290">
        <v>2013</v>
      </c>
      <c r="C290">
        <v>403.53777780000001</v>
      </c>
      <c r="D290">
        <v>276.37555559999998</v>
      </c>
      <c r="E290">
        <v>44.102222220000002</v>
      </c>
      <c r="F290">
        <v>23.74666667</v>
      </c>
      <c r="G290">
        <v>25.07222222</v>
      </c>
      <c r="H290">
        <v>1595.2633330000001</v>
      </c>
      <c r="I290">
        <v>2.2544444440000002</v>
      </c>
      <c r="J290" t="s">
        <v>11</v>
      </c>
    </row>
    <row r="291" spans="1:10" x14ac:dyDescent="0.25">
      <c r="A291" t="s">
        <v>24</v>
      </c>
      <c r="B291">
        <v>2014</v>
      </c>
      <c r="C291">
        <v>546.75142860000005</v>
      </c>
      <c r="D291">
        <v>361.96</v>
      </c>
      <c r="E291">
        <v>47.98857143</v>
      </c>
      <c r="F291">
        <v>28.537142859999999</v>
      </c>
      <c r="G291">
        <v>24.431428570000001</v>
      </c>
      <c r="H291">
        <v>1973.05</v>
      </c>
      <c r="I291">
        <v>3.5314285710000002</v>
      </c>
      <c r="J291" t="s">
        <v>12</v>
      </c>
    </row>
    <row r="292" spans="1:10" x14ac:dyDescent="0.25">
      <c r="A292" t="s">
        <v>24</v>
      </c>
      <c r="B292">
        <v>2015</v>
      </c>
      <c r="C292">
        <v>470.19777779999998</v>
      </c>
      <c r="D292">
        <v>260.4866667</v>
      </c>
      <c r="E292">
        <v>49.267777780000003</v>
      </c>
      <c r="F292">
        <v>29.563333329999999</v>
      </c>
      <c r="G292">
        <v>21.924444439999998</v>
      </c>
      <c r="H292">
        <v>1687.8688890000001</v>
      </c>
      <c r="I292">
        <v>2.6577777779999998</v>
      </c>
      <c r="J292" t="s">
        <v>11</v>
      </c>
    </row>
    <row r="293" spans="1:10" x14ac:dyDescent="0.25">
      <c r="A293" t="s">
        <v>24</v>
      </c>
      <c r="B293">
        <v>2016</v>
      </c>
      <c r="C293">
        <v>385.38916669999998</v>
      </c>
      <c r="D293">
        <v>294.77166670000003</v>
      </c>
      <c r="E293">
        <v>50.54</v>
      </c>
      <c r="F293">
        <v>29.06666667</v>
      </c>
      <c r="G293">
        <v>28.184999999999999</v>
      </c>
      <c r="H293">
        <v>1550.5366670000001</v>
      </c>
      <c r="I293">
        <v>2.6808333329999998</v>
      </c>
      <c r="J293" t="s">
        <v>11</v>
      </c>
    </row>
    <row r="294" spans="1:10" x14ac:dyDescent="0.25">
      <c r="A294" t="s">
        <v>24</v>
      </c>
      <c r="B294">
        <v>2017</v>
      </c>
      <c r="C294">
        <v>527.14333329999999</v>
      </c>
      <c r="D294">
        <v>286.9916667</v>
      </c>
      <c r="E294">
        <v>51.028333330000002</v>
      </c>
      <c r="F294">
        <v>29.208333329999999</v>
      </c>
      <c r="G294">
        <v>17.25333333</v>
      </c>
      <c r="H294">
        <v>1895.0566670000001</v>
      </c>
      <c r="I294">
        <v>2.7949999999999999</v>
      </c>
      <c r="J294" t="s">
        <v>11</v>
      </c>
    </row>
    <row r="295" spans="1:10" x14ac:dyDescent="0.25">
      <c r="A295" t="s">
        <v>24</v>
      </c>
      <c r="B295">
        <v>2018</v>
      </c>
      <c r="C295">
        <v>654.62285710000003</v>
      </c>
      <c r="D295">
        <v>357.53714289999999</v>
      </c>
      <c r="E295">
        <v>65.28</v>
      </c>
      <c r="F295">
        <v>29.652857139999998</v>
      </c>
      <c r="G295">
        <v>27.21</v>
      </c>
      <c r="H295">
        <v>1482.394286</v>
      </c>
      <c r="I295">
        <v>2.5042857139999999</v>
      </c>
      <c r="J295" t="s">
        <v>12</v>
      </c>
    </row>
    <row r="296" spans="1:10" x14ac:dyDescent="0.25">
      <c r="A296" t="s">
        <v>24</v>
      </c>
      <c r="B296">
        <v>2019</v>
      </c>
      <c r="C296">
        <v>480.01571430000001</v>
      </c>
      <c r="D296">
        <v>292.86285709999999</v>
      </c>
      <c r="E296">
        <v>48.547142860000001</v>
      </c>
      <c r="F296">
        <v>31.422857140000001</v>
      </c>
      <c r="G296">
        <v>30.50285714</v>
      </c>
      <c r="H296">
        <v>1064.121429</v>
      </c>
      <c r="I296">
        <v>2.9457142859999998</v>
      </c>
      <c r="J296" t="s">
        <v>11</v>
      </c>
    </row>
    <row r="297" spans="1:10" x14ac:dyDescent="0.25">
      <c r="A297" t="s">
        <v>24</v>
      </c>
      <c r="B297">
        <v>2020</v>
      </c>
      <c r="C297">
        <v>558.97749999999996</v>
      </c>
      <c r="D297">
        <v>280.23500000000001</v>
      </c>
      <c r="E297">
        <v>48.74</v>
      </c>
      <c r="F297">
        <v>28.673749999999998</v>
      </c>
      <c r="G297">
        <v>24.767499999999998</v>
      </c>
      <c r="H297">
        <v>1445.1175000000001</v>
      </c>
      <c r="I297">
        <v>2.2250000000000001</v>
      </c>
      <c r="J297" t="s">
        <v>11</v>
      </c>
    </row>
    <row r="298" spans="1:10" x14ac:dyDescent="0.25">
      <c r="A298" t="s">
        <v>24</v>
      </c>
      <c r="B298">
        <v>2021</v>
      </c>
      <c r="C298">
        <v>533.34083329999999</v>
      </c>
      <c r="D298">
        <v>284.87583330000001</v>
      </c>
      <c r="E298">
        <v>50.888333330000002</v>
      </c>
      <c r="F298">
        <v>27.998333330000001</v>
      </c>
      <c r="G298">
        <v>26.29</v>
      </c>
      <c r="H298">
        <v>1474.9416670000001</v>
      </c>
      <c r="I298">
        <v>2.3875000000000002</v>
      </c>
      <c r="J298" t="s">
        <v>11</v>
      </c>
    </row>
    <row r="299" spans="1:10" x14ac:dyDescent="0.25">
      <c r="A299" t="s">
        <v>24</v>
      </c>
      <c r="B299">
        <v>2022</v>
      </c>
      <c r="C299">
        <v>497.69799999999998</v>
      </c>
      <c r="D299">
        <v>329.62400000000002</v>
      </c>
      <c r="E299">
        <v>44.793999999999997</v>
      </c>
      <c r="F299">
        <v>35.533999999999999</v>
      </c>
      <c r="G299">
        <v>22.251000000000001</v>
      </c>
      <c r="H299">
        <v>1390.4459999999999</v>
      </c>
      <c r="I299">
        <v>2.851</v>
      </c>
      <c r="J299" t="s">
        <v>12</v>
      </c>
    </row>
    <row r="300" spans="1:10" x14ac:dyDescent="0.25">
      <c r="A300" t="s">
        <v>24</v>
      </c>
      <c r="B300">
        <v>2023</v>
      </c>
      <c r="C300">
        <v>504.06333330000001</v>
      </c>
      <c r="D300">
        <v>298.58999999999997</v>
      </c>
      <c r="E300">
        <v>48.917499999999997</v>
      </c>
      <c r="F300">
        <v>26.1</v>
      </c>
      <c r="G300">
        <v>24.754999999999999</v>
      </c>
      <c r="H300">
        <v>1422.0391669999999</v>
      </c>
      <c r="I300">
        <v>3.045833333</v>
      </c>
      <c r="J300" t="s">
        <v>11</v>
      </c>
    </row>
    <row r="301" spans="1:10" x14ac:dyDescent="0.25">
      <c r="A301" t="s">
        <v>24</v>
      </c>
      <c r="B301">
        <v>2024</v>
      </c>
      <c r="C301">
        <v>452.57933329999997</v>
      </c>
      <c r="D301">
        <v>234.94</v>
      </c>
      <c r="E301">
        <v>54.433333330000004</v>
      </c>
      <c r="F301">
        <v>28.978000000000002</v>
      </c>
      <c r="G301">
        <v>21.608666670000002</v>
      </c>
      <c r="H301">
        <v>1448.624667</v>
      </c>
      <c r="I301">
        <v>2.8853333330000002</v>
      </c>
      <c r="J301" t="s">
        <v>11</v>
      </c>
    </row>
    <row r="302" spans="1:10" x14ac:dyDescent="0.25">
      <c r="A302" t="s">
        <v>25</v>
      </c>
      <c r="B302">
        <v>2000</v>
      </c>
      <c r="C302">
        <v>544.99923079999996</v>
      </c>
      <c r="D302">
        <v>266.10692310000002</v>
      </c>
      <c r="E302">
        <v>54.256153849999997</v>
      </c>
      <c r="F302">
        <v>25.18461538</v>
      </c>
      <c r="G302">
        <v>23.836923079999998</v>
      </c>
      <c r="H302">
        <v>1669.8992310000001</v>
      </c>
      <c r="I302">
        <v>2.766923077</v>
      </c>
      <c r="J302" t="s">
        <v>11</v>
      </c>
    </row>
    <row r="303" spans="1:10" x14ac:dyDescent="0.25">
      <c r="A303" t="s">
        <v>25</v>
      </c>
      <c r="B303">
        <v>2001</v>
      </c>
      <c r="C303">
        <v>629.21333330000004</v>
      </c>
      <c r="D303">
        <v>211.155</v>
      </c>
      <c r="E303">
        <v>40.555833329999999</v>
      </c>
      <c r="F303">
        <v>27.5425</v>
      </c>
      <c r="G303">
        <v>29.053333330000001</v>
      </c>
      <c r="H303">
        <v>1379.665</v>
      </c>
      <c r="I303">
        <v>2.840833333</v>
      </c>
      <c r="J303" t="s">
        <v>11</v>
      </c>
    </row>
    <row r="304" spans="1:10" x14ac:dyDescent="0.25">
      <c r="A304" t="s">
        <v>25</v>
      </c>
      <c r="B304">
        <v>2002</v>
      </c>
      <c r="C304">
        <v>487.18599999999998</v>
      </c>
      <c r="D304">
        <v>212.32900000000001</v>
      </c>
      <c r="E304">
        <v>52.933999999999997</v>
      </c>
      <c r="F304">
        <v>31.605</v>
      </c>
      <c r="G304">
        <v>27.335000000000001</v>
      </c>
      <c r="H304">
        <v>1837.251</v>
      </c>
      <c r="I304">
        <v>2.786</v>
      </c>
      <c r="J304" t="s">
        <v>11</v>
      </c>
    </row>
    <row r="305" spans="1:10" x14ac:dyDescent="0.25">
      <c r="A305" t="s">
        <v>25</v>
      </c>
      <c r="B305">
        <v>2003</v>
      </c>
      <c r="C305">
        <v>562.34100000000001</v>
      </c>
      <c r="D305">
        <v>306.35899999999998</v>
      </c>
      <c r="E305">
        <v>55.887</v>
      </c>
      <c r="F305">
        <v>27.417000000000002</v>
      </c>
      <c r="G305">
        <v>26.934999999999999</v>
      </c>
      <c r="H305">
        <v>965.61699999999996</v>
      </c>
      <c r="I305">
        <v>3.4860000000000002</v>
      </c>
      <c r="J305" t="s">
        <v>12</v>
      </c>
    </row>
    <row r="306" spans="1:10" x14ac:dyDescent="0.25">
      <c r="A306" t="s">
        <v>25</v>
      </c>
      <c r="B306">
        <v>2004</v>
      </c>
      <c r="C306">
        <v>555.15</v>
      </c>
      <c r="D306">
        <v>248.77699999999999</v>
      </c>
      <c r="E306">
        <v>52.228999999999999</v>
      </c>
      <c r="F306">
        <v>31.622</v>
      </c>
      <c r="G306">
        <v>23.126999999999999</v>
      </c>
      <c r="H306">
        <v>1389.694</v>
      </c>
      <c r="I306">
        <v>2.0289999999999999</v>
      </c>
      <c r="J306" t="s">
        <v>11</v>
      </c>
    </row>
    <row r="307" spans="1:10" x14ac:dyDescent="0.25">
      <c r="A307" t="s">
        <v>25</v>
      </c>
      <c r="B307">
        <v>2005</v>
      </c>
      <c r="C307">
        <v>427.98374999999999</v>
      </c>
      <c r="D307">
        <v>280.47812499999998</v>
      </c>
      <c r="E307">
        <v>52.845624999999998</v>
      </c>
      <c r="F307">
        <v>30.803750000000001</v>
      </c>
      <c r="G307">
        <v>23.015625</v>
      </c>
      <c r="H307">
        <v>1423.4143750000001</v>
      </c>
      <c r="I307">
        <v>3.308125</v>
      </c>
      <c r="J307" t="s">
        <v>11</v>
      </c>
    </row>
    <row r="308" spans="1:10" x14ac:dyDescent="0.25">
      <c r="A308" t="s">
        <v>25</v>
      </c>
      <c r="B308">
        <v>2006</v>
      </c>
      <c r="C308">
        <v>614.04</v>
      </c>
      <c r="D308">
        <v>254.85818180000001</v>
      </c>
      <c r="E308">
        <v>51.049090909999997</v>
      </c>
      <c r="F308">
        <v>20.9</v>
      </c>
      <c r="G308">
        <v>24.907272729999999</v>
      </c>
      <c r="H308">
        <v>1703.7836359999999</v>
      </c>
      <c r="I308">
        <v>2.4690909090000002</v>
      </c>
      <c r="J308" t="s">
        <v>11</v>
      </c>
    </row>
    <row r="309" spans="1:10" x14ac:dyDescent="0.25">
      <c r="A309" t="s">
        <v>25</v>
      </c>
      <c r="B309">
        <v>2007</v>
      </c>
      <c r="C309">
        <v>552.64099999999996</v>
      </c>
      <c r="D309">
        <v>246.24799999999999</v>
      </c>
      <c r="E309">
        <v>46.058999999999997</v>
      </c>
      <c r="F309">
        <v>38.756999999999998</v>
      </c>
      <c r="G309">
        <v>20.038</v>
      </c>
      <c r="H309">
        <v>1200.1110000000001</v>
      </c>
      <c r="I309">
        <v>2.5409999999999999</v>
      </c>
      <c r="J309" t="s">
        <v>11</v>
      </c>
    </row>
    <row r="310" spans="1:10" x14ac:dyDescent="0.25">
      <c r="A310" t="s">
        <v>25</v>
      </c>
      <c r="B310">
        <v>2008</v>
      </c>
      <c r="C310">
        <v>608.3666667</v>
      </c>
      <c r="D310">
        <v>291.76111109999999</v>
      </c>
      <c r="E310">
        <v>47.813333329999999</v>
      </c>
      <c r="F310">
        <v>28.767777779999999</v>
      </c>
      <c r="G310">
        <v>21.516666669999999</v>
      </c>
      <c r="H310">
        <v>1761.913333</v>
      </c>
      <c r="I310">
        <v>1.9466666669999999</v>
      </c>
      <c r="J310" t="s">
        <v>11</v>
      </c>
    </row>
    <row r="311" spans="1:10" x14ac:dyDescent="0.25">
      <c r="A311" t="s">
        <v>25</v>
      </c>
      <c r="B311">
        <v>2009</v>
      </c>
      <c r="C311">
        <v>472.67</v>
      </c>
      <c r="D311">
        <v>317.23166670000001</v>
      </c>
      <c r="E311">
        <v>51.102499999999999</v>
      </c>
      <c r="F311">
        <v>23.604166670000001</v>
      </c>
      <c r="G311">
        <v>25.76166667</v>
      </c>
      <c r="H311">
        <v>1736.958333</v>
      </c>
      <c r="I311">
        <v>2.0225</v>
      </c>
      <c r="J311" t="s">
        <v>12</v>
      </c>
    </row>
    <row r="312" spans="1:10" x14ac:dyDescent="0.25">
      <c r="A312" t="s">
        <v>25</v>
      </c>
      <c r="B312">
        <v>2010</v>
      </c>
      <c r="C312">
        <v>375.48</v>
      </c>
      <c r="D312">
        <v>328.84</v>
      </c>
      <c r="E312">
        <v>51.607500000000002</v>
      </c>
      <c r="F312">
        <v>34.142499999999998</v>
      </c>
      <c r="G312">
        <v>23.822500000000002</v>
      </c>
      <c r="H312">
        <v>1572.0225</v>
      </c>
      <c r="I312">
        <v>2.44</v>
      </c>
      <c r="J312" t="s">
        <v>12</v>
      </c>
    </row>
    <row r="313" spans="1:10" x14ac:dyDescent="0.25">
      <c r="A313" t="s">
        <v>25</v>
      </c>
      <c r="B313">
        <v>2011</v>
      </c>
      <c r="C313">
        <v>458.47142860000002</v>
      </c>
      <c r="D313">
        <v>250.64571430000001</v>
      </c>
      <c r="E313">
        <v>53.989285709999997</v>
      </c>
      <c r="F313">
        <v>25.90428571</v>
      </c>
      <c r="G313">
        <v>26.09642857</v>
      </c>
      <c r="H313">
        <v>1465.1592860000001</v>
      </c>
      <c r="I313">
        <v>2.457142857</v>
      </c>
      <c r="J313" t="s">
        <v>11</v>
      </c>
    </row>
    <row r="314" spans="1:10" x14ac:dyDescent="0.25">
      <c r="A314" t="s">
        <v>25</v>
      </c>
      <c r="B314">
        <v>2012</v>
      </c>
      <c r="C314">
        <v>542.8113333</v>
      </c>
      <c r="D314">
        <v>261.07733330000002</v>
      </c>
      <c r="E314">
        <v>46.898666669999997</v>
      </c>
      <c r="F314">
        <v>28.520666670000001</v>
      </c>
      <c r="G314">
        <v>20.992666669999998</v>
      </c>
      <c r="H314">
        <v>1750.9086669999999</v>
      </c>
      <c r="I314">
        <v>3.2066666669999999</v>
      </c>
      <c r="J314" t="s">
        <v>11</v>
      </c>
    </row>
    <row r="315" spans="1:10" x14ac:dyDescent="0.25">
      <c r="A315" t="s">
        <v>25</v>
      </c>
      <c r="B315">
        <v>2013</v>
      </c>
      <c r="C315">
        <v>438.02866669999997</v>
      </c>
      <c r="D315">
        <v>255.22066670000001</v>
      </c>
      <c r="E315">
        <v>53.356666670000003</v>
      </c>
      <c r="F315">
        <v>29.82266667</v>
      </c>
      <c r="G315">
        <v>23.511333329999999</v>
      </c>
      <c r="H315">
        <v>1642.184667</v>
      </c>
      <c r="I315">
        <v>2.2759999999999998</v>
      </c>
      <c r="J315" t="s">
        <v>11</v>
      </c>
    </row>
    <row r="316" spans="1:10" x14ac:dyDescent="0.25">
      <c r="A316" t="s">
        <v>25</v>
      </c>
      <c r="B316">
        <v>2014</v>
      </c>
      <c r="C316">
        <v>612.64</v>
      </c>
      <c r="D316">
        <v>245.65777779999999</v>
      </c>
      <c r="E316">
        <v>55.237777780000002</v>
      </c>
      <c r="F316">
        <v>26.673333329999998</v>
      </c>
      <c r="G316">
        <v>24.486666670000002</v>
      </c>
      <c r="H316">
        <v>1453.158889</v>
      </c>
      <c r="I316">
        <v>2.7944444439999998</v>
      </c>
      <c r="J316" t="s">
        <v>11</v>
      </c>
    </row>
    <row r="317" spans="1:10" x14ac:dyDescent="0.25">
      <c r="A317" t="s">
        <v>25</v>
      </c>
      <c r="B317">
        <v>2015</v>
      </c>
      <c r="C317">
        <v>477.53166670000002</v>
      </c>
      <c r="D317">
        <v>305.255</v>
      </c>
      <c r="E317">
        <v>46.771666670000002</v>
      </c>
      <c r="F317">
        <v>22.685833330000001</v>
      </c>
      <c r="G317">
        <v>21.267499999999998</v>
      </c>
      <c r="H317">
        <v>1548.8050000000001</v>
      </c>
      <c r="I317">
        <v>2.7708333330000001</v>
      </c>
      <c r="J317" t="s">
        <v>12</v>
      </c>
    </row>
    <row r="318" spans="1:10" x14ac:dyDescent="0.25">
      <c r="A318" t="s">
        <v>25</v>
      </c>
      <c r="B318">
        <v>2016</v>
      </c>
      <c r="C318">
        <v>460.51499999999999</v>
      </c>
      <c r="D318">
        <v>307.76900000000001</v>
      </c>
      <c r="E318">
        <v>49.527000000000001</v>
      </c>
      <c r="F318">
        <v>31.481000000000002</v>
      </c>
      <c r="G318">
        <v>24.806000000000001</v>
      </c>
      <c r="H318">
        <v>1525.8330000000001</v>
      </c>
      <c r="I318">
        <v>1.859</v>
      </c>
      <c r="J318" t="s">
        <v>12</v>
      </c>
    </row>
    <row r="319" spans="1:10" x14ac:dyDescent="0.25">
      <c r="A319" t="s">
        <v>25</v>
      </c>
      <c r="B319">
        <v>2017</v>
      </c>
      <c r="C319">
        <v>382.33285710000001</v>
      </c>
      <c r="D319">
        <v>347.16571429999999</v>
      </c>
      <c r="E319">
        <v>52.41</v>
      </c>
      <c r="F319">
        <v>23.835714289999999</v>
      </c>
      <c r="G319">
        <v>23.548571429999999</v>
      </c>
      <c r="H319">
        <v>1864.07</v>
      </c>
      <c r="I319">
        <v>2.4814285709999999</v>
      </c>
      <c r="J319" t="s">
        <v>12</v>
      </c>
    </row>
    <row r="320" spans="1:10" x14ac:dyDescent="0.25">
      <c r="A320" t="s">
        <v>25</v>
      </c>
      <c r="B320">
        <v>2018</v>
      </c>
      <c r="C320">
        <v>490.72142860000002</v>
      </c>
      <c r="D320">
        <v>330.84714289999999</v>
      </c>
      <c r="E320">
        <v>53.227142860000001</v>
      </c>
      <c r="F320">
        <v>28.17142857</v>
      </c>
      <c r="G320">
        <v>29.851428569999999</v>
      </c>
      <c r="H320">
        <v>2194.635714</v>
      </c>
      <c r="I320">
        <v>2.9614285709999999</v>
      </c>
      <c r="J320" t="s">
        <v>12</v>
      </c>
    </row>
    <row r="321" spans="1:10" x14ac:dyDescent="0.25">
      <c r="A321" t="s">
        <v>25</v>
      </c>
      <c r="B321">
        <v>2019</v>
      </c>
      <c r="C321">
        <v>353.8</v>
      </c>
      <c r="D321">
        <v>265.85500000000002</v>
      </c>
      <c r="E321">
        <v>49.716250000000002</v>
      </c>
      <c r="F321">
        <v>24.077500000000001</v>
      </c>
      <c r="G321">
        <v>28.708749999999998</v>
      </c>
      <c r="H321">
        <v>1312.1537499999999</v>
      </c>
      <c r="I321">
        <v>2.9075000000000002</v>
      </c>
      <c r="J321" t="s">
        <v>11</v>
      </c>
    </row>
    <row r="322" spans="1:10" x14ac:dyDescent="0.25">
      <c r="A322" t="s">
        <v>25</v>
      </c>
      <c r="B322">
        <v>2020</v>
      </c>
      <c r="C322">
        <v>520.47500000000002</v>
      </c>
      <c r="D322">
        <v>327.94625000000002</v>
      </c>
      <c r="E322">
        <v>43.658749999999998</v>
      </c>
      <c r="F322">
        <v>25.901250000000001</v>
      </c>
      <c r="G322">
        <v>24.055</v>
      </c>
      <c r="H322">
        <v>1030.5675000000001</v>
      </c>
      <c r="I322">
        <v>1.9337500000000001</v>
      </c>
      <c r="J322" t="s">
        <v>12</v>
      </c>
    </row>
    <row r="323" spans="1:10" x14ac:dyDescent="0.25">
      <c r="A323" t="s">
        <v>25</v>
      </c>
      <c r="B323">
        <v>2021</v>
      </c>
      <c r="C323">
        <v>373.5907143</v>
      </c>
      <c r="D323">
        <v>277.0871429</v>
      </c>
      <c r="E323">
        <v>51.321428570000002</v>
      </c>
      <c r="F323">
        <v>21.305714290000001</v>
      </c>
      <c r="G323">
        <v>22.84571429</v>
      </c>
      <c r="H323">
        <v>1563.3864289999999</v>
      </c>
      <c r="I323">
        <v>2.3392857139999998</v>
      </c>
      <c r="J323" t="s">
        <v>11</v>
      </c>
    </row>
    <row r="324" spans="1:10" x14ac:dyDescent="0.25">
      <c r="A324" t="s">
        <v>25</v>
      </c>
      <c r="B324">
        <v>2022</v>
      </c>
      <c r="C324">
        <v>462.4533333</v>
      </c>
      <c r="D324">
        <v>286.80916669999999</v>
      </c>
      <c r="E324">
        <v>51.990833330000001</v>
      </c>
      <c r="F324">
        <v>28.891666669999999</v>
      </c>
      <c r="G324">
        <v>27.021666669999998</v>
      </c>
      <c r="H324">
        <v>1540.198333</v>
      </c>
      <c r="I324">
        <v>2.3858333329999999</v>
      </c>
      <c r="J324" t="s">
        <v>11</v>
      </c>
    </row>
    <row r="325" spans="1:10" x14ac:dyDescent="0.25">
      <c r="A325" t="s">
        <v>25</v>
      </c>
      <c r="B325">
        <v>2023</v>
      </c>
      <c r="C325">
        <v>481.71916670000002</v>
      </c>
      <c r="D325">
        <v>240.71666669999999</v>
      </c>
      <c r="E325">
        <v>53.176666670000003</v>
      </c>
      <c r="F325">
        <v>31.799166670000002</v>
      </c>
      <c r="G325">
        <v>27.483333330000001</v>
      </c>
      <c r="H325">
        <v>1751.1941670000001</v>
      </c>
      <c r="I325">
        <v>2.1716666670000002</v>
      </c>
      <c r="J325" t="s">
        <v>11</v>
      </c>
    </row>
    <row r="326" spans="1:10" x14ac:dyDescent="0.25">
      <c r="A326" t="s">
        <v>25</v>
      </c>
      <c r="B326">
        <v>2024</v>
      </c>
      <c r="C326">
        <v>500.36500000000001</v>
      </c>
      <c r="D326">
        <v>357.78666670000001</v>
      </c>
      <c r="E326">
        <v>45.668333330000003</v>
      </c>
      <c r="F326">
        <v>23.17</v>
      </c>
      <c r="G326">
        <v>27.168333329999999</v>
      </c>
      <c r="H326">
        <v>1546.6916670000001</v>
      </c>
      <c r="I326">
        <v>2.8233333329999999</v>
      </c>
      <c r="J326" t="s">
        <v>12</v>
      </c>
    </row>
    <row r="327" spans="1:10" x14ac:dyDescent="0.25">
      <c r="A327" t="s">
        <v>26</v>
      </c>
      <c r="B327">
        <v>2000</v>
      </c>
      <c r="C327">
        <v>564.14</v>
      </c>
      <c r="D327">
        <v>316.52499999999998</v>
      </c>
      <c r="E327">
        <v>45.148000000000003</v>
      </c>
      <c r="F327">
        <v>31.04</v>
      </c>
      <c r="G327">
        <v>23.555</v>
      </c>
      <c r="H327">
        <v>1735.5440000000001</v>
      </c>
      <c r="I327">
        <v>2.2090000000000001</v>
      </c>
      <c r="J327" t="s">
        <v>12</v>
      </c>
    </row>
    <row r="328" spans="1:10" x14ac:dyDescent="0.25">
      <c r="A328" t="s">
        <v>26</v>
      </c>
      <c r="B328">
        <v>2001</v>
      </c>
      <c r="C328">
        <v>513.40937499999995</v>
      </c>
      <c r="D328">
        <v>234.5625</v>
      </c>
      <c r="E328">
        <v>59.376249999999999</v>
      </c>
      <c r="F328">
        <v>23.448125000000001</v>
      </c>
      <c r="G328">
        <v>25.263124999999999</v>
      </c>
      <c r="H328">
        <v>1641.055625</v>
      </c>
      <c r="I328">
        <v>2.7243750000000002</v>
      </c>
      <c r="J328" t="s">
        <v>11</v>
      </c>
    </row>
    <row r="329" spans="1:10" x14ac:dyDescent="0.25">
      <c r="A329" t="s">
        <v>26</v>
      </c>
      <c r="B329">
        <v>2002</v>
      </c>
      <c r="C329">
        <v>417.75099999999998</v>
      </c>
      <c r="D329">
        <v>315.673</v>
      </c>
      <c r="E329">
        <v>42.218000000000004</v>
      </c>
      <c r="F329">
        <v>26.186</v>
      </c>
      <c r="G329">
        <v>26.175000000000001</v>
      </c>
      <c r="H329">
        <v>1503.223</v>
      </c>
      <c r="I329">
        <v>2.4700000000000002</v>
      </c>
      <c r="J329" t="s">
        <v>12</v>
      </c>
    </row>
    <row r="330" spans="1:10" x14ac:dyDescent="0.25">
      <c r="A330" t="s">
        <v>26</v>
      </c>
      <c r="B330">
        <v>2003</v>
      </c>
      <c r="C330">
        <v>412.54750000000001</v>
      </c>
      <c r="D330">
        <v>260.86333330000002</v>
      </c>
      <c r="E330">
        <v>40.40666667</v>
      </c>
      <c r="F330">
        <v>26.575833329999998</v>
      </c>
      <c r="G330">
        <v>21.375</v>
      </c>
      <c r="H330">
        <v>1544.343333</v>
      </c>
      <c r="I330">
        <v>2.3975</v>
      </c>
      <c r="J330" t="s">
        <v>11</v>
      </c>
    </row>
    <row r="331" spans="1:10" x14ac:dyDescent="0.25">
      <c r="A331" t="s">
        <v>26</v>
      </c>
      <c r="B331">
        <v>2004</v>
      </c>
      <c r="C331">
        <v>581.548</v>
      </c>
      <c r="D331">
        <v>300.09899999999999</v>
      </c>
      <c r="E331">
        <v>46.061</v>
      </c>
      <c r="F331">
        <v>23.321000000000002</v>
      </c>
      <c r="G331">
        <v>22.638000000000002</v>
      </c>
      <c r="H331">
        <v>1542.596</v>
      </c>
      <c r="I331">
        <v>2.0569999999999999</v>
      </c>
      <c r="J331" t="s">
        <v>12</v>
      </c>
    </row>
    <row r="332" spans="1:10" x14ac:dyDescent="0.25">
      <c r="A332" t="s">
        <v>26</v>
      </c>
      <c r="B332">
        <v>2005</v>
      </c>
      <c r="C332">
        <v>559.8663636</v>
      </c>
      <c r="D332">
        <v>175.6645455</v>
      </c>
      <c r="E332">
        <v>47.93</v>
      </c>
      <c r="F332">
        <v>26.779090910000001</v>
      </c>
      <c r="G332">
        <v>24.376363640000001</v>
      </c>
      <c r="H332">
        <v>1422.5136359999999</v>
      </c>
      <c r="I332">
        <v>2.2809090909999998</v>
      </c>
      <c r="J332" t="s">
        <v>15</v>
      </c>
    </row>
    <row r="333" spans="1:10" x14ac:dyDescent="0.25">
      <c r="A333" t="s">
        <v>26</v>
      </c>
      <c r="B333">
        <v>2006</v>
      </c>
      <c r="C333">
        <v>522.38</v>
      </c>
      <c r="D333">
        <v>241.566</v>
      </c>
      <c r="E333">
        <v>51.646000000000001</v>
      </c>
      <c r="F333">
        <v>33.82</v>
      </c>
      <c r="G333">
        <v>25.277999999999999</v>
      </c>
      <c r="H333">
        <v>1475.9280000000001</v>
      </c>
      <c r="I333">
        <v>3.706</v>
      </c>
      <c r="J333" t="s">
        <v>11</v>
      </c>
    </row>
    <row r="334" spans="1:10" x14ac:dyDescent="0.25">
      <c r="A334" t="s">
        <v>26</v>
      </c>
      <c r="B334">
        <v>2007</v>
      </c>
      <c r="C334">
        <v>537.96249999999998</v>
      </c>
      <c r="D334">
        <v>307.3</v>
      </c>
      <c r="E334">
        <v>51.486249999999998</v>
      </c>
      <c r="F334">
        <v>24.248750000000001</v>
      </c>
      <c r="G334">
        <v>26.186250000000001</v>
      </c>
      <c r="H334">
        <v>1950.20625</v>
      </c>
      <c r="I334">
        <v>1.99875</v>
      </c>
      <c r="J334" t="s">
        <v>12</v>
      </c>
    </row>
    <row r="335" spans="1:10" x14ac:dyDescent="0.25">
      <c r="A335" t="s">
        <v>26</v>
      </c>
      <c r="B335">
        <v>2008</v>
      </c>
      <c r="C335">
        <v>583.41</v>
      </c>
      <c r="D335">
        <v>272.25</v>
      </c>
      <c r="E335">
        <v>52.611111110000003</v>
      </c>
      <c r="F335">
        <v>38.144444440000001</v>
      </c>
      <c r="G335">
        <v>27.698888889999999</v>
      </c>
      <c r="H335">
        <v>894.41111109999997</v>
      </c>
      <c r="I335">
        <v>2.1555555559999999</v>
      </c>
      <c r="J335" t="s">
        <v>11</v>
      </c>
    </row>
    <row r="336" spans="1:10" x14ac:dyDescent="0.25">
      <c r="A336" t="s">
        <v>26</v>
      </c>
      <c r="B336">
        <v>2009</v>
      </c>
      <c r="C336">
        <v>551.89583330000005</v>
      </c>
      <c r="D336">
        <v>267.95666670000003</v>
      </c>
      <c r="E336">
        <v>45.896666670000002</v>
      </c>
      <c r="F336">
        <v>26.05</v>
      </c>
      <c r="G336">
        <v>29.8325</v>
      </c>
      <c r="H336">
        <v>987.2416667</v>
      </c>
      <c r="I336">
        <v>2.5291666670000001</v>
      </c>
      <c r="J336" t="s">
        <v>11</v>
      </c>
    </row>
    <row r="337" spans="1:10" x14ac:dyDescent="0.25">
      <c r="A337" t="s">
        <v>26</v>
      </c>
      <c r="B337">
        <v>2010</v>
      </c>
      <c r="C337">
        <v>572.75777779999999</v>
      </c>
      <c r="D337">
        <v>320.6788889</v>
      </c>
      <c r="E337">
        <v>38.02333333</v>
      </c>
      <c r="F337">
        <v>22.858888889999999</v>
      </c>
      <c r="G337">
        <v>30.688888890000001</v>
      </c>
      <c r="H337">
        <v>1756.57</v>
      </c>
      <c r="I337">
        <v>2.7488888889999998</v>
      </c>
      <c r="J337" t="s">
        <v>12</v>
      </c>
    </row>
    <row r="338" spans="1:10" x14ac:dyDescent="0.25">
      <c r="A338" t="s">
        <v>26</v>
      </c>
      <c r="B338">
        <v>2011</v>
      </c>
      <c r="C338">
        <v>504.46749999999997</v>
      </c>
      <c r="D338">
        <v>318.685</v>
      </c>
      <c r="E338">
        <v>58.970833329999998</v>
      </c>
      <c r="F338">
        <v>28.356666669999999</v>
      </c>
      <c r="G338">
        <v>25.12166667</v>
      </c>
      <c r="H338">
        <v>1518.7950000000001</v>
      </c>
      <c r="I338">
        <v>1.96</v>
      </c>
      <c r="J338" t="s">
        <v>12</v>
      </c>
    </row>
    <row r="339" spans="1:10" x14ac:dyDescent="0.25">
      <c r="A339" t="s">
        <v>26</v>
      </c>
      <c r="B339">
        <v>2012</v>
      </c>
      <c r="C339">
        <v>584.7355556</v>
      </c>
      <c r="D339">
        <v>278.6394444</v>
      </c>
      <c r="E339">
        <v>50.533333329999998</v>
      </c>
      <c r="F339">
        <v>25.137222220000002</v>
      </c>
      <c r="G339">
        <v>19.87277778</v>
      </c>
      <c r="H339">
        <v>1455.9394440000001</v>
      </c>
      <c r="I339">
        <v>2.7088888889999998</v>
      </c>
      <c r="J339" t="s">
        <v>11</v>
      </c>
    </row>
    <row r="340" spans="1:10" x14ac:dyDescent="0.25">
      <c r="A340" t="s">
        <v>26</v>
      </c>
      <c r="B340">
        <v>2013</v>
      </c>
      <c r="C340">
        <v>434.90125</v>
      </c>
      <c r="D340">
        <v>238.0275</v>
      </c>
      <c r="E340">
        <v>49.478749999999998</v>
      </c>
      <c r="F340">
        <v>22.291250000000002</v>
      </c>
      <c r="G340">
        <v>25.55</v>
      </c>
      <c r="H340">
        <v>1062.0762500000001</v>
      </c>
      <c r="I340">
        <v>2.6037499999999998</v>
      </c>
      <c r="J340" t="s">
        <v>11</v>
      </c>
    </row>
    <row r="341" spans="1:10" x14ac:dyDescent="0.25">
      <c r="A341" t="s">
        <v>26</v>
      </c>
      <c r="B341">
        <v>2014</v>
      </c>
      <c r="C341">
        <v>538.36642859999995</v>
      </c>
      <c r="D341">
        <v>286.48857140000001</v>
      </c>
      <c r="E341">
        <v>50.603571430000002</v>
      </c>
      <c r="F341">
        <v>33.441428569999999</v>
      </c>
      <c r="G341">
        <v>23.67714286</v>
      </c>
      <c r="H341">
        <v>1353.895</v>
      </c>
      <c r="I341">
        <v>2.1828571430000001</v>
      </c>
      <c r="J341" t="s">
        <v>11</v>
      </c>
    </row>
    <row r="342" spans="1:10" x14ac:dyDescent="0.25">
      <c r="A342" t="s">
        <v>26</v>
      </c>
      <c r="B342">
        <v>2015</v>
      </c>
      <c r="C342">
        <v>566.23900000000003</v>
      </c>
      <c r="D342">
        <v>240.96199999999999</v>
      </c>
      <c r="E342">
        <v>41.718000000000004</v>
      </c>
      <c r="F342">
        <v>31.754000000000001</v>
      </c>
      <c r="G342">
        <v>26.024000000000001</v>
      </c>
      <c r="H342">
        <v>1287.384</v>
      </c>
      <c r="I342">
        <v>3.6509999999999998</v>
      </c>
      <c r="J342" t="s">
        <v>11</v>
      </c>
    </row>
    <row r="343" spans="1:10" x14ac:dyDescent="0.25">
      <c r="A343" t="s">
        <v>26</v>
      </c>
      <c r="B343">
        <v>2016</v>
      </c>
      <c r="C343">
        <v>349.9291667</v>
      </c>
      <c r="D343">
        <v>197.71083329999999</v>
      </c>
      <c r="E343">
        <v>57.199166669999997</v>
      </c>
      <c r="F343">
        <v>22.477499999999999</v>
      </c>
      <c r="G343">
        <v>25.87916667</v>
      </c>
      <c r="H343">
        <v>1478.1475</v>
      </c>
      <c r="I343">
        <v>2.190833333</v>
      </c>
      <c r="J343" t="s">
        <v>15</v>
      </c>
    </row>
    <row r="344" spans="1:10" x14ac:dyDescent="0.25">
      <c r="A344" t="s">
        <v>26</v>
      </c>
      <c r="B344">
        <v>2017</v>
      </c>
      <c r="C344">
        <v>616.38272730000006</v>
      </c>
      <c r="D344">
        <v>247.6345455</v>
      </c>
      <c r="E344">
        <v>55.802727269999998</v>
      </c>
      <c r="F344">
        <v>23.760909089999998</v>
      </c>
      <c r="G344">
        <v>29.710909090000001</v>
      </c>
      <c r="H344">
        <v>1288.0899999999999</v>
      </c>
      <c r="I344">
        <v>2.2518181820000001</v>
      </c>
      <c r="J344" t="s">
        <v>11</v>
      </c>
    </row>
    <row r="345" spans="1:10" x14ac:dyDescent="0.25">
      <c r="A345" t="s">
        <v>26</v>
      </c>
      <c r="B345">
        <v>2018</v>
      </c>
      <c r="C345">
        <v>445.10727270000001</v>
      </c>
      <c r="D345">
        <v>311.10090910000002</v>
      </c>
      <c r="E345">
        <v>48.370909089999998</v>
      </c>
      <c r="F345">
        <v>23.516363640000002</v>
      </c>
      <c r="G345">
        <v>25.45909091</v>
      </c>
      <c r="H345">
        <v>1747.4963640000001</v>
      </c>
      <c r="I345">
        <v>2.3027272729999999</v>
      </c>
      <c r="J345" t="s">
        <v>12</v>
      </c>
    </row>
    <row r="346" spans="1:10" x14ac:dyDescent="0.25">
      <c r="A346" t="s">
        <v>26</v>
      </c>
      <c r="B346">
        <v>2019</v>
      </c>
      <c r="C346">
        <v>355.0575</v>
      </c>
      <c r="D346">
        <v>293.42374999999998</v>
      </c>
      <c r="E346">
        <v>51.308750000000003</v>
      </c>
      <c r="F346">
        <v>40.28125</v>
      </c>
      <c r="G346">
        <v>27.997499999999999</v>
      </c>
      <c r="H346">
        <v>1502.6775</v>
      </c>
      <c r="I346">
        <v>3.0575000000000001</v>
      </c>
      <c r="J346" t="s">
        <v>11</v>
      </c>
    </row>
    <row r="347" spans="1:10" x14ac:dyDescent="0.25">
      <c r="A347" t="s">
        <v>26</v>
      </c>
      <c r="B347">
        <v>2020</v>
      </c>
      <c r="C347">
        <v>538.07000000000005</v>
      </c>
      <c r="D347">
        <v>297.0892308</v>
      </c>
      <c r="E347">
        <v>58.579230770000002</v>
      </c>
      <c r="F347">
        <v>22.94230769</v>
      </c>
      <c r="G347">
        <v>24.041538460000002</v>
      </c>
      <c r="H347">
        <v>1385.4238459999999</v>
      </c>
      <c r="I347">
        <v>2.3184615380000002</v>
      </c>
      <c r="J347" t="s">
        <v>11</v>
      </c>
    </row>
    <row r="348" spans="1:10" x14ac:dyDescent="0.25">
      <c r="A348" t="s">
        <v>26</v>
      </c>
      <c r="B348">
        <v>2021</v>
      </c>
      <c r="C348">
        <v>468.44749999999999</v>
      </c>
      <c r="D348">
        <v>295.705625</v>
      </c>
      <c r="E348">
        <v>51.282499999999999</v>
      </c>
      <c r="F348">
        <v>30.130624999999998</v>
      </c>
      <c r="G348">
        <v>26.577500000000001</v>
      </c>
      <c r="H348">
        <v>1269.8518750000001</v>
      </c>
      <c r="I348">
        <v>2.5387499999999998</v>
      </c>
      <c r="J348" t="s">
        <v>11</v>
      </c>
    </row>
    <row r="349" spans="1:10" x14ac:dyDescent="0.25">
      <c r="A349" t="s">
        <v>26</v>
      </c>
      <c r="B349">
        <v>2022</v>
      </c>
      <c r="C349">
        <v>586.47785710000005</v>
      </c>
      <c r="D349">
        <v>278.36857140000001</v>
      </c>
      <c r="E349">
        <v>44.127142859999999</v>
      </c>
      <c r="F349">
        <v>27.602857140000001</v>
      </c>
      <c r="G349">
        <v>26.625</v>
      </c>
      <c r="H349">
        <v>1267.151429</v>
      </c>
      <c r="I349">
        <v>2.165714286</v>
      </c>
      <c r="J349" t="s">
        <v>11</v>
      </c>
    </row>
    <row r="350" spans="1:10" x14ac:dyDescent="0.25">
      <c r="A350" t="s">
        <v>26</v>
      </c>
      <c r="B350">
        <v>2023</v>
      </c>
      <c r="C350">
        <v>604.98</v>
      </c>
      <c r="D350">
        <v>268.14999999999998</v>
      </c>
      <c r="E350">
        <v>46.628</v>
      </c>
      <c r="F350">
        <v>34.143999999999998</v>
      </c>
      <c r="G350">
        <v>23.651</v>
      </c>
      <c r="H350">
        <v>1506.5940000000001</v>
      </c>
      <c r="I350">
        <v>2.4849999999999999</v>
      </c>
      <c r="J350" t="s">
        <v>11</v>
      </c>
    </row>
    <row r="351" spans="1:10" x14ac:dyDescent="0.25">
      <c r="A351" t="s">
        <v>26</v>
      </c>
      <c r="B351">
        <v>2024</v>
      </c>
      <c r="C351">
        <v>555.24857139999995</v>
      </c>
      <c r="D351">
        <v>252.7157143</v>
      </c>
      <c r="E351">
        <v>39.880000000000003</v>
      </c>
      <c r="F351">
        <v>24.56142857</v>
      </c>
      <c r="G351">
        <v>29.477142860000001</v>
      </c>
      <c r="H351">
        <v>1532.972857</v>
      </c>
      <c r="I351">
        <v>2.875714286</v>
      </c>
      <c r="J351" t="s">
        <v>11</v>
      </c>
    </row>
    <row r="352" spans="1:10" x14ac:dyDescent="0.25">
      <c r="A352" t="s">
        <v>27</v>
      </c>
      <c r="B352">
        <v>2000</v>
      </c>
      <c r="C352">
        <v>564.89625000000001</v>
      </c>
      <c r="D352">
        <v>222.86875000000001</v>
      </c>
      <c r="E352">
        <v>59.771250000000002</v>
      </c>
      <c r="F352">
        <v>28.732500000000002</v>
      </c>
      <c r="G352">
        <v>24.2925</v>
      </c>
      <c r="H352">
        <v>1307.8325</v>
      </c>
      <c r="I352">
        <v>2.9387500000000002</v>
      </c>
      <c r="J352" t="s">
        <v>11</v>
      </c>
    </row>
    <row r="353" spans="1:10" x14ac:dyDescent="0.25">
      <c r="A353" t="s">
        <v>27</v>
      </c>
      <c r="B353">
        <v>2001</v>
      </c>
      <c r="C353">
        <v>483.81833330000001</v>
      </c>
      <c r="D353">
        <v>222.9291667</v>
      </c>
      <c r="E353">
        <v>55.932499999999997</v>
      </c>
      <c r="F353">
        <v>24.05083333</v>
      </c>
      <c r="G353">
        <v>24.9725</v>
      </c>
      <c r="H353">
        <v>1399.2333329999999</v>
      </c>
      <c r="I353">
        <v>2.1775000000000002</v>
      </c>
      <c r="J353" t="s">
        <v>11</v>
      </c>
    </row>
    <row r="354" spans="1:10" x14ac:dyDescent="0.25">
      <c r="A354" t="s">
        <v>27</v>
      </c>
      <c r="B354">
        <v>2002</v>
      </c>
      <c r="C354">
        <v>552.56666670000004</v>
      </c>
      <c r="D354">
        <v>346.84166670000002</v>
      </c>
      <c r="E354">
        <v>45.35916667</v>
      </c>
      <c r="F354">
        <v>33.619999999999997</v>
      </c>
      <c r="G354">
        <v>19.69166667</v>
      </c>
      <c r="H354">
        <v>1536.1208329999999</v>
      </c>
      <c r="I354">
        <v>2.5249999999999999</v>
      </c>
      <c r="J354" t="s">
        <v>12</v>
      </c>
    </row>
    <row r="355" spans="1:10" x14ac:dyDescent="0.25">
      <c r="A355" t="s">
        <v>27</v>
      </c>
      <c r="B355">
        <v>2003</v>
      </c>
      <c r="C355">
        <v>438.2535714</v>
      </c>
      <c r="D355">
        <v>303.64928570000001</v>
      </c>
      <c r="E355">
        <v>51.80285714</v>
      </c>
      <c r="F355">
        <v>26.579285710000001</v>
      </c>
      <c r="G355">
        <v>27.45</v>
      </c>
      <c r="H355">
        <v>1831.347143</v>
      </c>
      <c r="I355">
        <v>2.9671428569999998</v>
      </c>
      <c r="J355" t="s">
        <v>12</v>
      </c>
    </row>
    <row r="356" spans="1:10" x14ac:dyDescent="0.25">
      <c r="A356" t="s">
        <v>27</v>
      </c>
      <c r="B356">
        <v>2004</v>
      </c>
      <c r="C356">
        <v>646.95214290000001</v>
      </c>
      <c r="D356">
        <v>326.59714289999999</v>
      </c>
      <c r="E356">
        <v>54.742857139999998</v>
      </c>
      <c r="F356">
        <v>23.07857143</v>
      </c>
      <c r="G356">
        <v>22.617857140000002</v>
      </c>
      <c r="H356">
        <v>1172.892143</v>
      </c>
      <c r="I356">
        <v>2.7342857139999999</v>
      </c>
      <c r="J356" t="s">
        <v>12</v>
      </c>
    </row>
    <row r="357" spans="1:10" x14ac:dyDescent="0.25">
      <c r="A357" t="s">
        <v>27</v>
      </c>
      <c r="B357">
        <v>2005</v>
      </c>
      <c r="C357">
        <v>429.73538459999997</v>
      </c>
      <c r="D357">
        <v>253.53846150000001</v>
      </c>
      <c r="E357">
        <v>52.690769230000001</v>
      </c>
      <c r="F357">
        <v>26.683076920000001</v>
      </c>
      <c r="G357">
        <v>25.66</v>
      </c>
      <c r="H357">
        <v>1368.123846</v>
      </c>
      <c r="I357">
        <v>2.131538462</v>
      </c>
      <c r="J357" t="s">
        <v>11</v>
      </c>
    </row>
    <row r="358" spans="1:10" x14ac:dyDescent="0.25">
      <c r="A358" t="s">
        <v>27</v>
      </c>
      <c r="B358">
        <v>2006</v>
      </c>
      <c r="C358">
        <v>448.46625</v>
      </c>
      <c r="D358">
        <v>300.90625</v>
      </c>
      <c r="E358">
        <v>54.638750000000002</v>
      </c>
      <c r="F358">
        <v>24.47625</v>
      </c>
      <c r="G358">
        <v>28.56</v>
      </c>
      <c r="H358">
        <v>1211.6925000000001</v>
      </c>
      <c r="I358">
        <v>2.165</v>
      </c>
      <c r="J358" t="s">
        <v>12</v>
      </c>
    </row>
    <row r="359" spans="1:10" x14ac:dyDescent="0.25">
      <c r="A359" t="s">
        <v>27</v>
      </c>
      <c r="B359">
        <v>2007</v>
      </c>
      <c r="C359">
        <v>502.8681818</v>
      </c>
      <c r="D359">
        <v>216.2763636</v>
      </c>
      <c r="E359">
        <v>56.732727269999998</v>
      </c>
      <c r="F359">
        <v>26.29181818</v>
      </c>
      <c r="G359">
        <v>23.29</v>
      </c>
      <c r="H359">
        <v>1805.447273</v>
      </c>
      <c r="I359">
        <v>2.5163636359999999</v>
      </c>
      <c r="J359" t="s">
        <v>11</v>
      </c>
    </row>
    <row r="360" spans="1:10" x14ac:dyDescent="0.25">
      <c r="A360" t="s">
        <v>27</v>
      </c>
      <c r="B360">
        <v>2008</v>
      </c>
      <c r="C360">
        <v>620.50250000000005</v>
      </c>
      <c r="D360">
        <v>270.22874999999999</v>
      </c>
      <c r="E360">
        <v>49.766249999999999</v>
      </c>
      <c r="F360">
        <v>27.306249999999999</v>
      </c>
      <c r="G360">
        <v>26.833749999999998</v>
      </c>
      <c r="H360">
        <v>1197.5962500000001</v>
      </c>
      <c r="I360">
        <v>2.8374999999999999</v>
      </c>
      <c r="J360" t="s">
        <v>11</v>
      </c>
    </row>
    <row r="361" spans="1:10" x14ac:dyDescent="0.25">
      <c r="A361" t="s">
        <v>27</v>
      </c>
      <c r="B361">
        <v>2009</v>
      </c>
      <c r="C361">
        <v>420.5491667</v>
      </c>
      <c r="D361">
        <v>255.0675</v>
      </c>
      <c r="E361">
        <v>43.348333330000003</v>
      </c>
      <c r="F361">
        <v>37.561666670000001</v>
      </c>
      <c r="G361">
        <v>22.661666669999999</v>
      </c>
      <c r="H361">
        <v>1195.989167</v>
      </c>
      <c r="I361">
        <v>2.8708333330000002</v>
      </c>
      <c r="J361" t="s">
        <v>11</v>
      </c>
    </row>
    <row r="362" spans="1:10" x14ac:dyDescent="0.25">
      <c r="A362" t="s">
        <v>27</v>
      </c>
      <c r="B362">
        <v>2010</v>
      </c>
      <c r="C362">
        <v>488.04333329999997</v>
      </c>
      <c r="D362">
        <v>242.8533333</v>
      </c>
      <c r="E362">
        <v>51.508888890000001</v>
      </c>
      <c r="F362">
        <v>31.596666670000001</v>
      </c>
      <c r="G362">
        <v>26.264444439999998</v>
      </c>
      <c r="H362">
        <v>1576.416667</v>
      </c>
      <c r="I362">
        <v>2.1233333330000002</v>
      </c>
      <c r="J362" t="s">
        <v>11</v>
      </c>
    </row>
    <row r="363" spans="1:10" x14ac:dyDescent="0.25">
      <c r="A363" t="s">
        <v>27</v>
      </c>
      <c r="B363">
        <v>2011</v>
      </c>
      <c r="C363">
        <v>372.46125000000001</v>
      </c>
      <c r="D363">
        <v>274.66374999999999</v>
      </c>
      <c r="E363">
        <v>41.35125</v>
      </c>
      <c r="F363">
        <v>29.61</v>
      </c>
      <c r="G363">
        <v>29.342500000000001</v>
      </c>
      <c r="H363">
        <v>1562.10625</v>
      </c>
      <c r="I363">
        <v>1.3</v>
      </c>
      <c r="J363" t="s">
        <v>11</v>
      </c>
    </row>
    <row r="364" spans="1:10" x14ac:dyDescent="0.25">
      <c r="A364" t="s">
        <v>27</v>
      </c>
      <c r="B364">
        <v>2012</v>
      </c>
      <c r="C364">
        <v>427.93083330000002</v>
      </c>
      <c r="D364">
        <v>246.64</v>
      </c>
      <c r="E364">
        <v>54.659166669999998</v>
      </c>
      <c r="F364">
        <v>30.534166670000001</v>
      </c>
      <c r="G364">
        <v>23.329166669999999</v>
      </c>
      <c r="H364">
        <v>1819.49</v>
      </c>
      <c r="I364">
        <v>2.869166667</v>
      </c>
      <c r="J364" t="s">
        <v>11</v>
      </c>
    </row>
    <row r="365" spans="1:10" x14ac:dyDescent="0.25">
      <c r="A365" t="s">
        <v>27</v>
      </c>
      <c r="B365">
        <v>2013</v>
      </c>
      <c r="C365">
        <v>661.91700000000003</v>
      </c>
      <c r="D365">
        <v>259.63799999999998</v>
      </c>
      <c r="E365">
        <v>60.728000000000002</v>
      </c>
      <c r="F365">
        <v>31.780999999999999</v>
      </c>
      <c r="G365">
        <v>23.327999999999999</v>
      </c>
      <c r="H365">
        <v>1845.4110000000001</v>
      </c>
      <c r="I365">
        <v>2.2559999999999998</v>
      </c>
      <c r="J365" t="s">
        <v>11</v>
      </c>
    </row>
    <row r="366" spans="1:10" x14ac:dyDescent="0.25">
      <c r="A366" t="s">
        <v>27</v>
      </c>
      <c r="B366">
        <v>2014</v>
      </c>
      <c r="C366">
        <v>514.50230769999996</v>
      </c>
      <c r="D366">
        <v>269.49230770000003</v>
      </c>
      <c r="E366">
        <v>49.323846150000001</v>
      </c>
      <c r="F366">
        <v>34.040769230000002</v>
      </c>
      <c r="G366">
        <v>28.53846154</v>
      </c>
      <c r="H366">
        <v>1781.4123079999999</v>
      </c>
      <c r="I366">
        <v>2.616153846</v>
      </c>
      <c r="J366" t="s">
        <v>11</v>
      </c>
    </row>
    <row r="367" spans="1:10" x14ac:dyDescent="0.25">
      <c r="A367" t="s">
        <v>27</v>
      </c>
      <c r="B367">
        <v>2015</v>
      </c>
      <c r="C367">
        <v>524.78</v>
      </c>
      <c r="D367">
        <v>268.32571430000002</v>
      </c>
      <c r="E367">
        <v>56.29</v>
      </c>
      <c r="F367">
        <v>33.034285709999999</v>
      </c>
      <c r="G367">
        <v>17.94714286</v>
      </c>
      <c r="H367">
        <v>1429.378571</v>
      </c>
      <c r="I367">
        <v>3.1757142859999998</v>
      </c>
      <c r="J367" t="s">
        <v>11</v>
      </c>
    </row>
    <row r="368" spans="1:10" x14ac:dyDescent="0.25">
      <c r="A368" t="s">
        <v>27</v>
      </c>
      <c r="B368">
        <v>2016</v>
      </c>
      <c r="C368">
        <v>557.49222220000001</v>
      </c>
      <c r="D368">
        <v>276.4855556</v>
      </c>
      <c r="E368">
        <v>51.851111109999998</v>
      </c>
      <c r="F368">
        <v>28.98</v>
      </c>
      <c r="G368">
        <v>27.721111109999999</v>
      </c>
      <c r="H368">
        <v>1439.0222220000001</v>
      </c>
      <c r="I368">
        <v>2.6033333330000001</v>
      </c>
      <c r="J368" t="s">
        <v>11</v>
      </c>
    </row>
    <row r="369" spans="1:10" x14ac:dyDescent="0.25">
      <c r="A369" t="s">
        <v>27</v>
      </c>
      <c r="B369">
        <v>2017</v>
      </c>
      <c r="C369">
        <v>565.16600000000005</v>
      </c>
      <c r="D369">
        <v>271.16333329999998</v>
      </c>
      <c r="E369">
        <v>45.33133333</v>
      </c>
      <c r="F369">
        <v>27.152666669999999</v>
      </c>
      <c r="G369">
        <v>24.33666667</v>
      </c>
      <c r="H369">
        <v>1106.3699999999999</v>
      </c>
      <c r="I369">
        <v>2.7953333329999999</v>
      </c>
      <c r="J369" t="s">
        <v>11</v>
      </c>
    </row>
    <row r="370" spans="1:10" x14ac:dyDescent="0.25">
      <c r="A370" t="s">
        <v>27</v>
      </c>
      <c r="B370">
        <v>2018</v>
      </c>
      <c r="C370">
        <v>545.22090909999997</v>
      </c>
      <c r="D370">
        <v>302.39999999999998</v>
      </c>
      <c r="E370">
        <v>42.97272727</v>
      </c>
      <c r="F370">
        <v>26.962727269999998</v>
      </c>
      <c r="G370">
        <v>20.84</v>
      </c>
      <c r="H370">
        <v>1396.296364</v>
      </c>
      <c r="I370">
        <v>2.8727272730000002</v>
      </c>
      <c r="J370" t="s">
        <v>12</v>
      </c>
    </row>
    <row r="371" spans="1:10" x14ac:dyDescent="0.25">
      <c r="A371" t="s">
        <v>27</v>
      </c>
      <c r="B371">
        <v>2019</v>
      </c>
      <c r="C371">
        <v>413.9891667</v>
      </c>
      <c r="D371">
        <v>277.06416669999999</v>
      </c>
      <c r="E371">
        <v>47.602499999999999</v>
      </c>
      <c r="F371">
        <v>24.874166670000001</v>
      </c>
      <c r="G371">
        <v>25.8675</v>
      </c>
      <c r="H371">
        <v>1802.1183329999999</v>
      </c>
      <c r="I371">
        <v>2.76</v>
      </c>
      <c r="J371" t="s">
        <v>11</v>
      </c>
    </row>
    <row r="372" spans="1:10" x14ac:dyDescent="0.25">
      <c r="A372" t="s">
        <v>27</v>
      </c>
      <c r="B372">
        <v>2020</v>
      </c>
      <c r="C372">
        <v>467.15461540000001</v>
      </c>
      <c r="D372">
        <v>296.55692310000001</v>
      </c>
      <c r="E372">
        <v>39.69</v>
      </c>
      <c r="F372">
        <v>30.16769231</v>
      </c>
      <c r="G372">
        <v>28.401538460000001</v>
      </c>
      <c r="H372">
        <v>1696.1161540000001</v>
      </c>
      <c r="I372">
        <v>2.2146153850000001</v>
      </c>
      <c r="J372" t="s">
        <v>11</v>
      </c>
    </row>
    <row r="373" spans="1:10" x14ac:dyDescent="0.25">
      <c r="A373" t="s">
        <v>27</v>
      </c>
      <c r="B373">
        <v>2021</v>
      </c>
      <c r="C373">
        <v>406.21833329999998</v>
      </c>
      <c r="D373">
        <v>281.54750000000001</v>
      </c>
      <c r="E373">
        <v>46.120833330000004</v>
      </c>
      <c r="F373">
        <v>27.27</v>
      </c>
      <c r="G373">
        <v>26.888333329999998</v>
      </c>
      <c r="H373">
        <v>1598.958333</v>
      </c>
      <c r="I373">
        <v>2.69</v>
      </c>
      <c r="J373" t="s">
        <v>11</v>
      </c>
    </row>
    <row r="374" spans="1:10" x14ac:dyDescent="0.25">
      <c r="A374" t="s">
        <v>27</v>
      </c>
      <c r="B374">
        <v>2022</v>
      </c>
      <c r="C374">
        <v>442.74111110000001</v>
      </c>
      <c r="D374">
        <v>268.53888890000002</v>
      </c>
      <c r="E374">
        <v>46.312222220000002</v>
      </c>
      <c r="F374">
        <v>20.355555559999999</v>
      </c>
      <c r="G374">
        <v>25.665555560000001</v>
      </c>
      <c r="H374">
        <v>1790.444444</v>
      </c>
      <c r="I374">
        <v>2.9333333330000002</v>
      </c>
      <c r="J374" t="s">
        <v>11</v>
      </c>
    </row>
    <row r="375" spans="1:10" x14ac:dyDescent="0.25">
      <c r="A375" t="s">
        <v>27</v>
      </c>
      <c r="B375">
        <v>2023</v>
      </c>
      <c r="C375">
        <v>538.96900000000005</v>
      </c>
      <c r="D375">
        <v>326.67200000000003</v>
      </c>
      <c r="E375">
        <v>50.207000000000001</v>
      </c>
      <c r="F375">
        <v>34.790999999999997</v>
      </c>
      <c r="G375">
        <v>19.434000000000001</v>
      </c>
      <c r="H375">
        <v>1243.5719999999999</v>
      </c>
      <c r="I375">
        <v>2.0059999999999998</v>
      </c>
      <c r="J375" t="s">
        <v>12</v>
      </c>
    </row>
    <row r="376" spans="1:10" x14ac:dyDescent="0.25">
      <c r="A376" t="s">
        <v>27</v>
      </c>
      <c r="B376">
        <v>2024</v>
      </c>
      <c r="C376">
        <v>509.7363636</v>
      </c>
      <c r="D376">
        <v>274.9863636</v>
      </c>
      <c r="E376">
        <v>58.009090909999998</v>
      </c>
      <c r="F376">
        <v>27.646363640000001</v>
      </c>
      <c r="G376">
        <v>23.33454545</v>
      </c>
      <c r="H376">
        <v>1101.151818</v>
      </c>
      <c r="I376">
        <v>2.6245454549999998</v>
      </c>
      <c r="J376" t="s">
        <v>11</v>
      </c>
    </row>
    <row r="377" spans="1:10" x14ac:dyDescent="0.25">
      <c r="A377" t="s">
        <v>28</v>
      </c>
      <c r="B377">
        <v>2000</v>
      </c>
      <c r="C377">
        <v>447.87625000000003</v>
      </c>
      <c r="D377">
        <v>271.56625000000003</v>
      </c>
      <c r="E377">
        <v>50.311250000000001</v>
      </c>
      <c r="F377">
        <v>28.532499999999999</v>
      </c>
      <c r="G377">
        <v>21.633749999999999</v>
      </c>
      <c r="H377">
        <v>1867.5875000000001</v>
      </c>
      <c r="I377">
        <v>2.5387499999999998</v>
      </c>
      <c r="J377" t="s">
        <v>11</v>
      </c>
    </row>
    <row r="378" spans="1:10" x14ac:dyDescent="0.25">
      <c r="A378" t="s">
        <v>28</v>
      </c>
      <c r="B378">
        <v>2001</v>
      </c>
      <c r="C378">
        <v>377.97500000000002</v>
      </c>
      <c r="D378">
        <v>285.6383333</v>
      </c>
      <c r="E378">
        <v>57.638333330000002</v>
      </c>
      <c r="F378">
        <v>29.36</v>
      </c>
      <c r="G378">
        <v>32.659999999999997</v>
      </c>
      <c r="H378">
        <v>1303.7650000000001</v>
      </c>
      <c r="I378">
        <v>3.048333333</v>
      </c>
      <c r="J378" t="s">
        <v>11</v>
      </c>
    </row>
    <row r="379" spans="1:10" x14ac:dyDescent="0.25">
      <c r="A379" t="s">
        <v>28</v>
      </c>
      <c r="B379">
        <v>2002</v>
      </c>
      <c r="C379">
        <v>489.72437500000001</v>
      </c>
      <c r="D379">
        <v>254.40312499999999</v>
      </c>
      <c r="E379">
        <v>51.043750000000003</v>
      </c>
      <c r="F379">
        <v>22.389375000000001</v>
      </c>
      <c r="G379">
        <v>25.184374999999999</v>
      </c>
      <c r="H379">
        <v>1301.1312499999999</v>
      </c>
      <c r="I379">
        <v>1.9524999999999999</v>
      </c>
      <c r="J379" t="s">
        <v>11</v>
      </c>
    </row>
    <row r="380" spans="1:10" x14ac:dyDescent="0.25">
      <c r="A380" t="s">
        <v>28</v>
      </c>
      <c r="B380">
        <v>2003</v>
      </c>
      <c r="C380">
        <v>615.35500000000002</v>
      </c>
      <c r="D380">
        <v>266.08999999999997</v>
      </c>
      <c r="E380">
        <v>47.998750000000001</v>
      </c>
      <c r="F380">
        <v>26.0825</v>
      </c>
      <c r="G380">
        <v>18.510000000000002</v>
      </c>
      <c r="H380">
        <v>1228.6937499999999</v>
      </c>
      <c r="I380">
        <v>2.7174999999999998</v>
      </c>
      <c r="J380" t="s">
        <v>11</v>
      </c>
    </row>
    <row r="381" spans="1:10" x14ac:dyDescent="0.25">
      <c r="A381" t="s">
        <v>28</v>
      </c>
      <c r="B381">
        <v>2004</v>
      </c>
      <c r="C381">
        <v>515.95230770000001</v>
      </c>
      <c r="D381">
        <v>313.8392308</v>
      </c>
      <c r="E381">
        <v>48.879230769999999</v>
      </c>
      <c r="F381">
        <v>25.21153846</v>
      </c>
      <c r="G381">
        <v>25.646153850000001</v>
      </c>
      <c r="H381">
        <v>1530.7230770000001</v>
      </c>
      <c r="I381">
        <v>3.3776923079999999</v>
      </c>
      <c r="J381" t="s">
        <v>12</v>
      </c>
    </row>
    <row r="382" spans="1:10" x14ac:dyDescent="0.25">
      <c r="A382" t="s">
        <v>28</v>
      </c>
      <c r="B382">
        <v>2005</v>
      </c>
      <c r="C382">
        <v>508.27499999999998</v>
      </c>
      <c r="D382">
        <v>230.87875</v>
      </c>
      <c r="E382">
        <v>41.505000000000003</v>
      </c>
      <c r="F382">
        <v>30.067499999999999</v>
      </c>
      <c r="G382">
        <v>24.478750000000002</v>
      </c>
      <c r="H382">
        <v>1712.5775000000001</v>
      </c>
      <c r="I382">
        <v>3.17625</v>
      </c>
      <c r="J382" t="s">
        <v>11</v>
      </c>
    </row>
    <row r="383" spans="1:10" x14ac:dyDescent="0.25">
      <c r="A383" t="s">
        <v>28</v>
      </c>
      <c r="B383">
        <v>2006</v>
      </c>
      <c r="C383">
        <v>445.81400000000002</v>
      </c>
      <c r="D383">
        <v>276.18400000000003</v>
      </c>
      <c r="E383">
        <v>51.576000000000001</v>
      </c>
      <c r="F383">
        <v>23.241</v>
      </c>
      <c r="G383">
        <v>27.734999999999999</v>
      </c>
      <c r="H383">
        <v>1364.556</v>
      </c>
      <c r="I383">
        <v>2.39</v>
      </c>
      <c r="J383" t="s">
        <v>11</v>
      </c>
    </row>
    <row r="384" spans="1:10" x14ac:dyDescent="0.25">
      <c r="A384" t="s">
        <v>28</v>
      </c>
      <c r="B384">
        <v>2007</v>
      </c>
      <c r="C384">
        <v>494.99272730000001</v>
      </c>
      <c r="D384">
        <v>271.04181820000002</v>
      </c>
      <c r="E384">
        <v>53.448181820000002</v>
      </c>
      <c r="F384">
        <v>27.149090910000002</v>
      </c>
      <c r="G384">
        <v>25.5</v>
      </c>
      <c r="H384">
        <v>1545.437273</v>
      </c>
      <c r="I384">
        <v>2.4390909089999999</v>
      </c>
      <c r="J384" t="s">
        <v>11</v>
      </c>
    </row>
    <row r="385" spans="1:10" x14ac:dyDescent="0.25">
      <c r="A385" t="s">
        <v>28</v>
      </c>
      <c r="B385">
        <v>2008</v>
      </c>
      <c r="C385">
        <v>509.60399999999998</v>
      </c>
      <c r="D385">
        <v>276.07299999999998</v>
      </c>
      <c r="E385">
        <v>55.399000000000001</v>
      </c>
      <c r="F385">
        <v>28.228999999999999</v>
      </c>
      <c r="G385">
        <v>23.547000000000001</v>
      </c>
      <c r="H385">
        <v>1334.9059999999999</v>
      </c>
      <c r="I385">
        <v>2.6429999999999998</v>
      </c>
      <c r="J385" t="s">
        <v>11</v>
      </c>
    </row>
    <row r="386" spans="1:10" x14ac:dyDescent="0.25">
      <c r="A386" t="s">
        <v>28</v>
      </c>
      <c r="B386">
        <v>2009</v>
      </c>
      <c r="C386">
        <v>437.71100000000001</v>
      </c>
      <c r="D386">
        <v>281.476</v>
      </c>
      <c r="E386">
        <v>53.947000000000003</v>
      </c>
      <c r="F386">
        <v>31.331</v>
      </c>
      <c r="G386">
        <v>26.484000000000002</v>
      </c>
      <c r="H386">
        <v>1042.2380000000001</v>
      </c>
      <c r="I386">
        <v>1.718</v>
      </c>
      <c r="J386" t="s">
        <v>11</v>
      </c>
    </row>
    <row r="387" spans="1:10" x14ac:dyDescent="0.25">
      <c r="A387" t="s">
        <v>28</v>
      </c>
      <c r="B387">
        <v>2010</v>
      </c>
      <c r="C387">
        <v>605.08900000000006</v>
      </c>
      <c r="D387">
        <v>231.14099999999999</v>
      </c>
      <c r="E387">
        <v>51.018000000000001</v>
      </c>
      <c r="F387">
        <v>25.201000000000001</v>
      </c>
      <c r="G387">
        <v>21.259</v>
      </c>
      <c r="H387">
        <v>1282.538</v>
      </c>
      <c r="I387">
        <v>2.5030000000000001</v>
      </c>
      <c r="J387" t="s">
        <v>11</v>
      </c>
    </row>
    <row r="388" spans="1:10" x14ac:dyDescent="0.25">
      <c r="A388" t="s">
        <v>28</v>
      </c>
      <c r="B388">
        <v>2011</v>
      </c>
      <c r="C388">
        <v>397.73599999999999</v>
      </c>
      <c r="D388">
        <v>299.13900000000001</v>
      </c>
      <c r="E388">
        <v>44.631999999999998</v>
      </c>
      <c r="F388">
        <v>22.05</v>
      </c>
      <c r="G388">
        <v>20.248999999999999</v>
      </c>
      <c r="H388">
        <v>1682.943</v>
      </c>
      <c r="I388">
        <v>2.6579999999999999</v>
      </c>
      <c r="J388" t="s">
        <v>11</v>
      </c>
    </row>
    <row r="389" spans="1:10" x14ac:dyDescent="0.25">
      <c r="A389" t="s">
        <v>28</v>
      </c>
      <c r="B389">
        <v>2012</v>
      </c>
      <c r="C389">
        <v>563.15416670000002</v>
      </c>
      <c r="D389">
        <v>276.36750000000001</v>
      </c>
      <c r="E389">
        <v>46.965000000000003</v>
      </c>
      <c r="F389">
        <v>27.2075</v>
      </c>
      <c r="G389">
        <v>28.70333333</v>
      </c>
      <c r="H389">
        <v>1405.616667</v>
      </c>
      <c r="I389">
        <v>2.3533333330000001</v>
      </c>
      <c r="J389" t="s">
        <v>11</v>
      </c>
    </row>
    <row r="390" spans="1:10" x14ac:dyDescent="0.25">
      <c r="A390" t="s">
        <v>28</v>
      </c>
      <c r="B390">
        <v>2013</v>
      </c>
      <c r="C390">
        <v>477.48333330000003</v>
      </c>
      <c r="D390">
        <v>279.48333330000003</v>
      </c>
      <c r="E390">
        <v>49.164999999999999</v>
      </c>
      <c r="F390">
        <v>27.126666669999999</v>
      </c>
      <c r="G390">
        <v>25.853333330000002</v>
      </c>
      <c r="H390">
        <v>1768.771667</v>
      </c>
      <c r="I390">
        <v>2.4466666670000001</v>
      </c>
      <c r="J390" t="s">
        <v>11</v>
      </c>
    </row>
    <row r="391" spans="1:10" x14ac:dyDescent="0.25">
      <c r="A391" t="s">
        <v>28</v>
      </c>
      <c r="B391">
        <v>2014</v>
      </c>
      <c r="C391">
        <v>502.60199999999998</v>
      </c>
      <c r="D391">
        <v>278.18666669999999</v>
      </c>
      <c r="E391">
        <v>43.182000000000002</v>
      </c>
      <c r="F391">
        <v>22.04933333</v>
      </c>
      <c r="G391">
        <v>26.643999999999998</v>
      </c>
      <c r="H391">
        <v>1642.040667</v>
      </c>
      <c r="I391">
        <v>2.6186666669999998</v>
      </c>
      <c r="J391" t="s">
        <v>11</v>
      </c>
    </row>
    <row r="392" spans="1:10" x14ac:dyDescent="0.25">
      <c r="A392" t="s">
        <v>28</v>
      </c>
      <c r="B392">
        <v>2015</v>
      </c>
      <c r="C392">
        <v>283.83749999999998</v>
      </c>
      <c r="D392">
        <v>313.85500000000002</v>
      </c>
      <c r="E392">
        <v>51.96</v>
      </c>
      <c r="F392">
        <v>23.107500000000002</v>
      </c>
      <c r="G392">
        <v>25.307500000000001</v>
      </c>
      <c r="H392">
        <v>1203.24</v>
      </c>
      <c r="I392">
        <v>2.9950000000000001</v>
      </c>
      <c r="J392" t="s">
        <v>12</v>
      </c>
    </row>
    <row r="393" spans="1:10" x14ac:dyDescent="0.25">
      <c r="A393" t="s">
        <v>28</v>
      </c>
      <c r="B393">
        <v>2016</v>
      </c>
      <c r="C393">
        <v>469.8236364</v>
      </c>
      <c r="D393">
        <v>262.66636360000001</v>
      </c>
      <c r="E393">
        <v>59.670909090000002</v>
      </c>
      <c r="F393">
        <v>25.905454550000002</v>
      </c>
      <c r="G393">
        <v>28.732727270000002</v>
      </c>
      <c r="H393">
        <v>1444.1036360000001</v>
      </c>
      <c r="I393">
        <v>1.8890909090000001</v>
      </c>
      <c r="J393" t="s">
        <v>11</v>
      </c>
    </row>
    <row r="394" spans="1:10" x14ac:dyDescent="0.25">
      <c r="A394" t="s">
        <v>28</v>
      </c>
      <c r="B394">
        <v>2017</v>
      </c>
      <c r="C394">
        <v>485.45499999999998</v>
      </c>
      <c r="D394">
        <v>360.45833329999999</v>
      </c>
      <c r="E394">
        <v>54.31</v>
      </c>
      <c r="F394">
        <v>18.844999999999999</v>
      </c>
      <c r="G394">
        <v>19</v>
      </c>
      <c r="H394">
        <v>2071.396667</v>
      </c>
      <c r="I394">
        <v>2.2316666669999998</v>
      </c>
      <c r="J394" t="s">
        <v>12</v>
      </c>
    </row>
    <row r="395" spans="1:10" x14ac:dyDescent="0.25">
      <c r="A395" t="s">
        <v>28</v>
      </c>
      <c r="B395">
        <v>2018</v>
      </c>
      <c r="C395">
        <v>446.39714290000001</v>
      </c>
      <c r="D395">
        <v>268.315</v>
      </c>
      <c r="E395">
        <v>47.946428570000002</v>
      </c>
      <c r="F395">
        <v>24.364999999999998</v>
      </c>
      <c r="G395">
        <v>23.693571429999999</v>
      </c>
      <c r="H395">
        <v>1402.076429</v>
      </c>
      <c r="I395">
        <v>2.4628571429999999</v>
      </c>
      <c r="J395" t="s">
        <v>11</v>
      </c>
    </row>
    <row r="396" spans="1:10" x14ac:dyDescent="0.25">
      <c r="A396" t="s">
        <v>28</v>
      </c>
      <c r="B396">
        <v>2019</v>
      </c>
      <c r="C396">
        <v>600.34375</v>
      </c>
      <c r="D396">
        <v>275.17124999999999</v>
      </c>
      <c r="E396">
        <v>46.563749999999999</v>
      </c>
      <c r="F396">
        <v>17.731249999999999</v>
      </c>
      <c r="G396">
        <v>21.60125</v>
      </c>
      <c r="H396">
        <v>1257.9625000000001</v>
      </c>
      <c r="I396">
        <v>3.30125</v>
      </c>
      <c r="J396" t="s">
        <v>11</v>
      </c>
    </row>
    <row r="397" spans="1:10" x14ac:dyDescent="0.25">
      <c r="A397" t="s">
        <v>28</v>
      </c>
      <c r="B397">
        <v>2020</v>
      </c>
      <c r="C397">
        <v>625.29875000000004</v>
      </c>
      <c r="D397">
        <v>298.00125000000003</v>
      </c>
      <c r="E397">
        <v>42.532499999999999</v>
      </c>
      <c r="F397">
        <v>22.571249999999999</v>
      </c>
      <c r="G397">
        <v>26.387499999999999</v>
      </c>
      <c r="H397">
        <v>1509.5062499999999</v>
      </c>
      <c r="I397">
        <v>2.2062499999999998</v>
      </c>
      <c r="J397" t="s">
        <v>11</v>
      </c>
    </row>
    <row r="398" spans="1:10" x14ac:dyDescent="0.25">
      <c r="A398" t="s">
        <v>28</v>
      </c>
      <c r="B398">
        <v>2021</v>
      </c>
      <c r="C398">
        <v>444.80466669999998</v>
      </c>
      <c r="D398">
        <v>218.13266669999999</v>
      </c>
      <c r="E398">
        <v>53.154666669999997</v>
      </c>
      <c r="F398">
        <v>25.09266667</v>
      </c>
      <c r="G398">
        <v>21.27266667</v>
      </c>
      <c r="H398">
        <v>1574.864</v>
      </c>
      <c r="I398">
        <v>3.3340000000000001</v>
      </c>
      <c r="J398" t="s">
        <v>11</v>
      </c>
    </row>
    <row r="399" spans="1:10" x14ac:dyDescent="0.25">
      <c r="A399" t="s">
        <v>28</v>
      </c>
      <c r="B399">
        <v>2022</v>
      </c>
      <c r="C399">
        <v>583.54200000000003</v>
      </c>
      <c r="D399">
        <v>273.86200000000002</v>
      </c>
      <c r="E399">
        <v>51.014000000000003</v>
      </c>
      <c r="F399">
        <v>18.78</v>
      </c>
      <c r="G399">
        <v>26.411999999999999</v>
      </c>
      <c r="H399">
        <v>1080.5139999999999</v>
      </c>
      <c r="I399">
        <v>2.7679999999999998</v>
      </c>
      <c r="J399" t="s">
        <v>11</v>
      </c>
    </row>
    <row r="400" spans="1:10" x14ac:dyDescent="0.25">
      <c r="A400" t="s">
        <v>28</v>
      </c>
      <c r="B400">
        <v>2023</v>
      </c>
      <c r="C400">
        <v>295.23399999999998</v>
      </c>
      <c r="D400">
        <v>284.19</v>
      </c>
      <c r="E400">
        <v>54.844000000000001</v>
      </c>
      <c r="F400">
        <v>18.288</v>
      </c>
      <c r="G400">
        <v>26.738</v>
      </c>
      <c r="H400">
        <v>1389.482</v>
      </c>
      <c r="I400">
        <v>2.456</v>
      </c>
      <c r="J400" t="s">
        <v>11</v>
      </c>
    </row>
    <row r="401" spans="1:10" x14ac:dyDescent="0.25">
      <c r="A401" t="s">
        <v>28</v>
      </c>
      <c r="B401">
        <v>2024</v>
      </c>
      <c r="C401">
        <v>560.78687500000001</v>
      </c>
      <c r="D401">
        <v>286.49062500000002</v>
      </c>
      <c r="E401">
        <v>53.231250000000003</v>
      </c>
      <c r="F401">
        <v>29.17625</v>
      </c>
      <c r="G401">
        <v>27.636875</v>
      </c>
      <c r="H401">
        <v>1174.2681250000001</v>
      </c>
      <c r="I401">
        <v>1.951875</v>
      </c>
      <c r="J401" t="s">
        <v>11</v>
      </c>
    </row>
    <row r="402" spans="1:10" x14ac:dyDescent="0.25">
      <c r="A402" t="s">
        <v>29</v>
      </c>
      <c r="B402">
        <v>2000</v>
      </c>
      <c r="C402">
        <v>529.14499999999998</v>
      </c>
      <c r="D402">
        <v>279.5625</v>
      </c>
      <c r="E402">
        <v>56.79666667</v>
      </c>
      <c r="F402">
        <v>24.39083333</v>
      </c>
      <c r="G402">
        <v>20.549166670000002</v>
      </c>
      <c r="H402">
        <v>1787.784167</v>
      </c>
      <c r="I402">
        <v>3.7991666670000002</v>
      </c>
      <c r="J402" t="s">
        <v>11</v>
      </c>
    </row>
    <row r="403" spans="1:10" x14ac:dyDescent="0.25">
      <c r="A403" t="s">
        <v>29</v>
      </c>
      <c r="B403">
        <v>2001</v>
      </c>
      <c r="C403">
        <v>364.05500000000001</v>
      </c>
      <c r="D403">
        <v>283.69</v>
      </c>
      <c r="E403">
        <v>43.61</v>
      </c>
      <c r="F403">
        <v>28.25</v>
      </c>
      <c r="G403">
        <v>33.594999999999999</v>
      </c>
      <c r="H403">
        <v>2280.9</v>
      </c>
      <c r="I403">
        <v>2.145</v>
      </c>
      <c r="J403" t="s">
        <v>11</v>
      </c>
    </row>
    <row r="404" spans="1:10" x14ac:dyDescent="0.25">
      <c r="A404" t="s">
        <v>29</v>
      </c>
      <c r="B404">
        <v>2002</v>
      </c>
      <c r="C404">
        <v>456.51714290000001</v>
      </c>
      <c r="D404">
        <v>261.0685714</v>
      </c>
      <c r="E404">
        <v>49.284285709999999</v>
      </c>
      <c r="F404">
        <v>26.34571429</v>
      </c>
      <c r="G404">
        <v>29.235714290000001</v>
      </c>
      <c r="H404">
        <v>2238.7614290000001</v>
      </c>
      <c r="I404">
        <v>1.9914285709999999</v>
      </c>
      <c r="J404" t="s">
        <v>11</v>
      </c>
    </row>
    <row r="405" spans="1:10" x14ac:dyDescent="0.25">
      <c r="A405" t="s">
        <v>29</v>
      </c>
      <c r="B405">
        <v>2003</v>
      </c>
      <c r="C405">
        <v>563.67499999999995</v>
      </c>
      <c r="D405">
        <v>304.28625</v>
      </c>
      <c r="E405">
        <v>48.207500000000003</v>
      </c>
      <c r="F405">
        <v>25.147500000000001</v>
      </c>
      <c r="G405">
        <v>28.153749999999999</v>
      </c>
      <c r="H405">
        <v>1316.0487499999999</v>
      </c>
      <c r="I405">
        <v>3.1662499999999998</v>
      </c>
      <c r="J405" t="s">
        <v>12</v>
      </c>
    </row>
    <row r="406" spans="1:10" x14ac:dyDescent="0.25">
      <c r="A406" t="s">
        <v>29</v>
      </c>
      <c r="B406">
        <v>2004</v>
      </c>
      <c r="C406">
        <v>636.28166669999996</v>
      </c>
      <c r="D406">
        <v>282.6116667</v>
      </c>
      <c r="E406">
        <v>41.668333330000003</v>
      </c>
      <c r="F406">
        <v>25.626666669999999</v>
      </c>
      <c r="G406">
        <v>27.361666670000002</v>
      </c>
      <c r="H406">
        <v>1342.11</v>
      </c>
      <c r="I406">
        <v>2.21</v>
      </c>
      <c r="J406" t="s">
        <v>11</v>
      </c>
    </row>
    <row r="407" spans="1:10" x14ac:dyDescent="0.25">
      <c r="A407" t="s">
        <v>29</v>
      </c>
      <c r="B407">
        <v>2005</v>
      </c>
      <c r="C407">
        <v>425.267</v>
      </c>
      <c r="D407">
        <v>309.96600000000001</v>
      </c>
      <c r="E407">
        <v>53.8</v>
      </c>
      <c r="F407">
        <v>27.783000000000001</v>
      </c>
      <c r="G407">
        <v>24.803999999999998</v>
      </c>
      <c r="H407">
        <v>1442.327</v>
      </c>
      <c r="I407">
        <v>1.9450000000000001</v>
      </c>
      <c r="J407" t="s">
        <v>12</v>
      </c>
    </row>
    <row r="408" spans="1:10" x14ac:dyDescent="0.25">
      <c r="A408" t="s">
        <v>29</v>
      </c>
      <c r="B408">
        <v>2006</v>
      </c>
      <c r="C408">
        <v>585.98222220000002</v>
      </c>
      <c r="D408">
        <v>178.1466667</v>
      </c>
      <c r="E408">
        <v>48.907777780000004</v>
      </c>
      <c r="F408">
        <v>23.868888890000001</v>
      </c>
      <c r="G408">
        <v>22.944444440000002</v>
      </c>
      <c r="H408">
        <v>1753.6755559999999</v>
      </c>
      <c r="I408">
        <v>3.0611111110000002</v>
      </c>
      <c r="J408" t="s">
        <v>15</v>
      </c>
    </row>
    <row r="409" spans="1:10" x14ac:dyDescent="0.25">
      <c r="A409" t="s">
        <v>29</v>
      </c>
      <c r="B409">
        <v>2007</v>
      </c>
      <c r="C409">
        <v>446.90812499999998</v>
      </c>
      <c r="D409">
        <v>233.550625</v>
      </c>
      <c r="E409">
        <v>47.081249999999997</v>
      </c>
      <c r="F409">
        <v>27.878125000000001</v>
      </c>
      <c r="G409">
        <v>26.625</v>
      </c>
      <c r="H409">
        <v>1427.3543749999999</v>
      </c>
      <c r="I409">
        <v>2.585</v>
      </c>
      <c r="J409" t="s">
        <v>11</v>
      </c>
    </row>
    <row r="410" spans="1:10" x14ac:dyDescent="0.25">
      <c r="A410" t="s">
        <v>29</v>
      </c>
      <c r="B410">
        <v>2008</v>
      </c>
      <c r="C410">
        <v>621.08416669999997</v>
      </c>
      <c r="D410">
        <v>272.03833329999998</v>
      </c>
      <c r="E410">
        <v>58.8</v>
      </c>
      <c r="F410">
        <v>21.7775</v>
      </c>
      <c r="G410">
        <v>29.813333329999999</v>
      </c>
      <c r="H410">
        <v>1418.294167</v>
      </c>
      <c r="I410">
        <v>2.7691666669999999</v>
      </c>
      <c r="J410" t="s">
        <v>11</v>
      </c>
    </row>
    <row r="411" spans="1:10" x14ac:dyDescent="0.25">
      <c r="A411" t="s">
        <v>29</v>
      </c>
      <c r="B411">
        <v>2009</v>
      </c>
      <c r="C411">
        <v>448.88200000000001</v>
      </c>
      <c r="D411">
        <v>271.04599999999999</v>
      </c>
      <c r="E411">
        <v>47.597999999999999</v>
      </c>
      <c r="F411">
        <v>31.635999999999999</v>
      </c>
      <c r="G411">
        <v>23.797000000000001</v>
      </c>
      <c r="H411">
        <v>2202.6219999999998</v>
      </c>
      <c r="I411">
        <v>3.278</v>
      </c>
      <c r="J411" t="s">
        <v>11</v>
      </c>
    </row>
    <row r="412" spans="1:10" x14ac:dyDescent="0.25">
      <c r="A412" t="s">
        <v>29</v>
      </c>
      <c r="B412">
        <v>2010</v>
      </c>
      <c r="C412">
        <v>298.6333333</v>
      </c>
      <c r="D412">
        <v>266.37222220000001</v>
      </c>
      <c r="E412">
        <v>45.825555559999998</v>
      </c>
      <c r="F412">
        <v>18.010000000000002</v>
      </c>
      <c r="G412">
        <v>25.224444439999999</v>
      </c>
      <c r="H412">
        <v>1427.8344440000001</v>
      </c>
      <c r="I412">
        <v>2.1755555559999999</v>
      </c>
      <c r="J412" t="s">
        <v>11</v>
      </c>
    </row>
    <row r="413" spans="1:10" x14ac:dyDescent="0.25">
      <c r="A413" t="s">
        <v>29</v>
      </c>
      <c r="B413">
        <v>2011</v>
      </c>
      <c r="C413">
        <v>436.98</v>
      </c>
      <c r="D413">
        <v>270.69</v>
      </c>
      <c r="E413">
        <v>56.849090910000001</v>
      </c>
      <c r="F413">
        <v>25.439090910000001</v>
      </c>
      <c r="G413">
        <v>24.02636364</v>
      </c>
      <c r="H413">
        <v>1765.9763640000001</v>
      </c>
      <c r="I413">
        <v>2.9909090909999998</v>
      </c>
      <c r="J413" t="s">
        <v>11</v>
      </c>
    </row>
    <row r="414" spans="1:10" x14ac:dyDescent="0.25">
      <c r="A414" t="s">
        <v>29</v>
      </c>
      <c r="B414">
        <v>2012</v>
      </c>
      <c r="C414">
        <v>434.72</v>
      </c>
      <c r="D414">
        <v>284.7633333</v>
      </c>
      <c r="E414">
        <v>47.394444440000001</v>
      </c>
      <c r="F414">
        <v>26.123333330000001</v>
      </c>
      <c r="G414">
        <v>23.735555560000002</v>
      </c>
      <c r="H414">
        <v>1320.36</v>
      </c>
      <c r="I414">
        <v>3.3511111109999998</v>
      </c>
      <c r="J414" t="s">
        <v>11</v>
      </c>
    </row>
    <row r="415" spans="1:10" x14ac:dyDescent="0.25">
      <c r="A415" t="s">
        <v>29</v>
      </c>
      <c r="B415">
        <v>2013</v>
      </c>
      <c r="C415">
        <v>456.13400000000001</v>
      </c>
      <c r="D415">
        <v>275.08199999999999</v>
      </c>
      <c r="E415">
        <v>54.408000000000001</v>
      </c>
      <c r="F415">
        <v>38.93</v>
      </c>
      <c r="G415">
        <v>25.206</v>
      </c>
      <c r="H415">
        <v>1576.6420000000001</v>
      </c>
      <c r="I415">
        <v>2.4159999999999999</v>
      </c>
      <c r="J415" t="s">
        <v>11</v>
      </c>
    </row>
    <row r="416" spans="1:10" x14ac:dyDescent="0.25">
      <c r="A416" t="s">
        <v>29</v>
      </c>
      <c r="B416">
        <v>2014</v>
      </c>
      <c r="C416">
        <v>387.32230770000001</v>
      </c>
      <c r="D416">
        <v>299.06</v>
      </c>
      <c r="E416">
        <v>47.85846154</v>
      </c>
      <c r="F416">
        <v>29.887692309999998</v>
      </c>
      <c r="G416">
        <v>27.814615379999999</v>
      </c>
      <c r="H416">
        <v>1360.435385</v>
      </c>
      <c r="I416">
        <v>3.1638461539999998</v>
      </c>
      <c r="J416" t="s">
        <v>11</v>
      </c>
    </row>
    <row r="417" spans="1:10" x14ac:dyDescent="0.25">
      <c r="A417" t="s">
        <v>29</v>
      </c>
      <c r="B417">
        <v>2015</v>
      </c>
      <c r="C417">
        <v>395.41444439999998</v>
      </c>
      <c r="D417">
        <v>311.28666670000001</v>
      </c>
      <c r="E417">
        <v>53.377777780000002</v>
      </c>
      <c r="F417">
        <v>34.61222222</v>
      </c>
      <c r="G417">
        <v>25.696666669999999</v>
      </c>
      <c r="H417">
        <v>1353.2533330000001</v>
      </c>
      <c r="I417">
        <v>2.3199999999999998</v>
      </c>
      <c r="J417" t="s">
        <v>12</v>
      </c>
    </row>
    <row r="418" spans="1:10" x14ac:dyDescent="0.25">
      <c r="A418" t="s">
        <v>29</v>
      </c>
      <c r="B418">
        <v>2016</v>
      </c>
      <c r="C418">
        <v>408.96</v>
      </c>
      <c r="D418">
        <v>329.24777779999999</v>
      </c>
      <c r="E418">
        <v>58.02333333</v>
      </c>
      <c r="F418">
        <v>36.020000000000003</v>
      </c>
      <c r="G418">
        <v>20.82222222</v>
      </c>
      <c r="H418">
        <v>1788.2555560000001</v>
      </c>
      <c r="I418">
        <v>2.21</v>
      </c>
      <c r="J418" t="s">
        <v>12</v>
      </c>
    </row>
    <row r="419" spans="1:10" x14ac:dyDescent="0.25">
      <c r="A419" t="s">
        <v>29</v>
      </c>
      <c r="B419">
        <v>2017</v>
      </c>
      <c r="C419">
        <v>441.78125</v>
      </c>
      <c r="D419">
        <v>311.84750000000003</v>
      </c>
      <c r="E419">
        <v>47.892499999999998</v>
      </c>
      <c r="F419">
        <v>23.111249999999998</v>
      </c>
      <c r="G419">
        <v>25.135000000000002</v>
      </c>
      <c r="H419">
        <v>1330.23125</v>
      </c>
      <c r="I419">
        <v>2.7987500000000001</v>
      </c>
      <c r="J419" t="s">
        <v>12</v>
      </c>
    </row>
    <row r="420" spans="1:10" x14ac:dyDescent="0.25">
      <c r="A420" t="s">
        <v>29</v>
      </c>
      <c r="B420">
        <v>2018</v>
      </c>
      <c r="C420">
        <v>554.58909089999997</v>
      </c>
      <c r="D420">
        <v>249.5854545</v>
      </c>
      <c r="E420">
        <v>44.537272729999998</v>
      </c>
      <c r="F420">
        <v>30.848181820000001</v>
      </c>
      <c r="G420">
        <v>24.407272729999999</v>
      </c>
      <c r="H420">
        <v>1757.610909</v>
      </c>
      <c r="I420">
        <v>2.7327272730000001</v>
      </c>
      <c r="J420" t="s">
        <v>11</v>
      </c>
    </row>
    <row r="421" spans="1:10" x14ac:dyDescent="0.25">
      <c r="A421" t="s">
        <v>29</v>
      </c>
      <c r="B421">
        <v>2019</v>
      </c>
      <c r="C421">
        <v>567.27636359999997</v>
      </c>
      <c r="D421">
        <v>256.22181819999997</v>
      </c>
      <c r="E421">
        <v>47.787272729999998</v>
      </c>
      <c r="F421">
        <v>26.051818180000001</v>
      </c>
      <c r="G421">
        <v>27.46</v>
      </c>
      <c r="H421">
        <v>1469.8681819999999</v>
      </c>
      <c r="I421">
        <v>2.9563636359999999</v>
      </c>
      <c r="J421" t="s">
        <v>11</v>
      </c>
    </row>
    <row r="422" spans="1:10" x14ac:dyDescent="0.25">
      <c r="A422" t="s">
        <v>29</v>
      </c>
      <c r="B422">
        <v>2020</v>
      </c>
      <c r="C422">
        <v>475.72166670000001</v>
      </c>
      <c r="D422">
        <v>238.9544444</v>
      </c>
      <c r="E422">
        <v>47.097777780000001</v>
      </c>
      <c r="F422">
        <v>27.451666670000002</v>
      </c>
      <c r="G422">
        <v>21.72777778</v>
      </c>
      <c r="H422">
        <v>1705.8077780000001</v>
      </c>
      <c r="I422">
        <v>2.6766666670000001</v>
      </c>
      <c r="J422" t="s">
        <v>11</v>
      </c>
    </row>
    <row r="423" spans="1:10" x14ac:dyDescent="0.25">
      <c r="A423" t="s">
        <v>29</v>
      </c>
      <c r="B423">
        <v>2021</v>
      </c>
      <c r="C423">
        <v>469.41846149999998</v>
      </c>
      <c r="D423">
        <v>279.90307689999997</v>
      </c>
      <c r="E423">
        <v>42.835384619999999</v>
      </c>
      <c r="F423">
        <v>29.271538459999999</v>
      </c>
      <c r="G423">
        <v>21.321538459999999</v>
      </c>
      <c r="H423">
        <v>1415.024615</v>
      </c>
      <c r="I423">
        <v>2.6815384619999998</v>
      </c>
      <c r="J423" t="s">
        <v>11</v>
      </c>
    </row>
    <row r="424" spans="1:10" x14ac:dyDescent="0.25">
      <c r="A424" t="s">
        <v>29</v>
      </c>
      <c r="B424">
        <v>2022</v>
      </c>
      <c r="C424">
        <v>433.95833329999999</v>
      </c>
      <c r="D424">
        <v>186.26499999999999</v>
      </c>
      <c r="E424">
        <v>56.17</v>
      </c>
      <c r="F424">
        <v>31.573333330000001</v>
      </c>
      <c r="G424">
        <v>21.723333329999999</v>
      </c>
      <c r="H424">
        <v>2106.2366670000001</v>
      </c>
      <c r="I424">
        <v>2.0916666670000001</v>
      </c>
      <c r="J424" t="s">
        <v>15</v>
      </c>
    </row>
    <row r="425" spans="1:10" x14ac:dyDescent="0.25">
      <c r="A425" t="s">
        <v>29</v>
      </c>
      <c r="B425">
        <v>2023</v>
      </c>
      <c r="C425">
        <v>410.89</v>
      </c>
      <c r="D425">
        <v>292.09199999999998</v>
      </c>
      <c r="E425">
        <v>51.87</v>
      </c>
      <c r="F425">
        <v>23.788</v>
      </c>
      <c r="G425">
        <v>21.102</v>
      </c>
      <c r="H425">
        <v>1839.922</v>
      </c>
      <c r="I425">
        <v>2.4300000000000002</v>
      </c>
      <c r="J425" t="s">
        <v>11</v>
      </c>
    </row>
    <row r="426" spans="1:10" x14ac:dyDescent="0.25">
      <c r="A426" t="s">
        <v>29</v>
      </c>
      <c r="B426">
        <v>2024</v>
      </c>
      <c r="C426">
        <v>546.98249999999996</v>
      </c>
      <c r="D426">
        <v>278.74250000000001</v>
      </c>
      <c r="E426">
        <v>51.055833329999999</v>
      </c>
      <c r="F426">
        <v>30.803333330000001</v>
      </c>
      <c r="G426">
        <v>25.2</v>
      </c>
      <c r="H426">
        <v>1833.6291670000001</v>
      </c>
      <c r="I426">
        <v>2.2200000000000002</v>
      </c>
      <c r="J426" t="s">
        <v>11</v>
      </c>
    </row>
    <row r="427" spans="1:10" x14ac:dyDescent="0.25">
      <c r="A427" t="s">
        <v>30</v>
      </c>
      <c r="B427">
        <v>2000</v>
      </c>
      <c r="C427">
        <v>621.26538459999995</v>
      </c>
      <c r="D427">
        <v>273.57076919999997</v>
      </c>
      <c r="E427">
        <v>54.793076919999997</v>
      </c>
      <c r="F427">
        <v>31.216923080000001</v>
      </c>
      <c r="G427">
        <v>24.733076919999998</v>
      </c>
      <c r="H427">
        <v>1604.9338459999999</v>
      </c>
      <c r="I427">
        <v>2.7461538459999999</v>
      </c>
      <c r="J427" t="s">
        <v>11</v>
      </c>
    </row>
    <row r="428" spans="1:10" x14ac:dyDescent="0.25">
      <c r="A428" t="s">
        <v>30</v>
      </c>
      <c r="B428">
        <v>2001</v>
      </c>
      <c r="C428">
        <v>372.41699999999997</v>
      </c>
      <c r="D428">
        <v>280.58199999999999</v>
      </c>
      <c r="E428">
        <v>53.551000000000002</v>
      </c>
      <c r="F428">
        <v>27.591999999999999</v>
      </c>
      <c r="G428">
        <v>24.748999999999999</v>
      </c>
      <c r="H428">
        <v>1160.829</v>
      </c>
      <c r="I428">
        <v>2.492</v>
      </c>
      <c r="J428" t="s">
        <v>11</v>
      </c>
    </row>
    <row r="429" spans="1:10" x14ac:dyDescent="0.25">
      <c r="A429" t="s">
        <v>30</v>
      </c>
      <c r="B429">
        <v>2002</v>
      </c>
      <c r="C429">
        <v>364.63416669999998</v>
      </c>
      <c r="D429">
        <v>309.01499999999999</v>
      </c>
      <c r="E429">
        <v>48.646666670000002</v>
      </c>
      <c r="F429">
        <v>25.895833329999999</v>
      </c>
      <c r="G429">
        <v>27.43333333</v>
      </c>
      <c r="H429">
        <v>1767.645</v>
      </c>
      <c r="I429">
        <v>2.891666667</v>
      </c>
      <c r="J429" t="s">
        <v>12</v>
      </c>
    </row>
    <row r="430" spans="1:10" x14ac:dyDescent="0.25">
      <c r="A430" t="s">
        <v>30</v>
      </c>
      <c r="B430">
        <v>2003</v>
      </c>
      <c r="C430">
        <v>326.11333330000002</v>
      </c>
      <c r="D430">
        <v>205.13166670000001</v>
      </c>
      <c r="E430">
        <v>53.738333330000003</v>
      </c>
      <c r="F430">
        <v>35.618333329999999</v>
      </c>
      <c r="G430">
        <v>23.81666667</v>
      </c>
      <c r="H430">
        <v>1366.376667</v>
      </c>
      <c r="I430">
        <v>1.875</v>
      </c>
      <c r="J430" t="s">
        <v>11</v>
      </c>
    </row>
    <row r="431" spans="1:10" x14ac:dyDescent="0.25">
      <c r="A431" t="s">
        <v>30</v>
      </c>
      <c r="B431">
        <v>2004</v>
      </c>
      <c r="C431">
        <v>580.20071429999996</v>
      </c>
      <c r="D431">
        <v>318.98285709999999</v>
      </c>
      <c r="E431">
        <v>43.93</v>
      </c>
      <c r="F431">
        <v>28.56</v>
      </c>
      <c r="G431">
        <v>23.22357143</v>
      </c>
      <c r="H431">
        <v>1647.287143</v>
      </c>
      <c r="I431">
        <v>3.05</v>
      </c>
      <c r="J431" t="s">
        <v>12</v>
      </c>
    </row>
    <row r="432" spans="1:10" x14ac:dyDescent="0.25">
      <c r="A432" t="s">
        <v>30</v>
      </c>
      <c r="B432">
        <v>2005</v>
      </c>
      <c r="C432">
        <v>250.2157143</v>
      </c>
      <c r="D432">
        <v>218.23428569999999</v>
      </c>
      <c r="E432">
        <v>44.674285709999999</v>
      </c>
      <c r="F432">
        <v>31.265714289999998</v>
      </c>
      <c r="G432">
        <v>23.63428571</v>
      </c>
      <c r="H432">
        <v>1805.7071430000001</v>
      </c>
      <c r="I432">
        <v>1.7342857140000001</v>
      </c>
      <c r="J432" t="s">
        <v>11</v>
      </c>
    </row>
    <row r="433" spans="1:10" x14ac:dyDescent="0.25">
      <c r="A433" t="s">
        <v>30</v>
      </c>
      <c r="B433">
        <v>2006</v>
      </c>
      <c r="C433">
        <v>238.57777780000001</v>
      </c>
      <c r="D433">
        <v>356.6333333</v>
      </c>
      <c r="E433">
        <v>59.277777780000001</v>
      </c>
      <c r="F433">
        <v>24.08</v>
      </c>
      <c r="G433">
        <v>21.277777780000001</v>
      </c>
      <c r="H433">
        <v>1528.0366670000001</v>
      </c>
      <c r="I433">
        <v>3.2688888889999999</v>
      </c>
      <c r="J433" t="s">
        <v>12</v>
      </c>
    </row>
    <row r="434" spans="1:10" x14ac:dyDescent="0.25">
      <c r="A434" t="s">
        <v>30</v>
      </c>
      <c r="B434">
        <v>2007</v>
      </c>
      <c r="C434">
        <v>507.52761900000002</v>
      </c>
      <c r="D434">
        <v>243.76857140000001</v>
      </c>
      <c r="E434">
        <v>48.230476189999997</v>
      </c>
      <c r="F434">
        <v>25.44190476</v>
      </c>
      <c r="G434">
        <v>25.83190476</v>
      </c>
      <c r="H434">
        <v>1585.517619</v>
      </c>
      <c r="I434">
        <v>2.6890476190000001</v>
      </c>
      <c r="J434" t="s">
        <v>11</v>
      </c>
    </row>
    <row r="435" spans="1:10" x14ac:dyDescent="0.25">
      <c r="A435" t="s">
        <v>30</v>
      </c>
      <c r="B435">
        <v>2008</v>
      </c>
      <c r="C435">
        <v>561.04222219999997</v>
      </c>
      <c r="D435">
        <v>246.1055556</v>
      </c>
      <c r="E435">
        <v>64.076666669999994</v>
      </c>
      <c r="F435">
        <v>27.332222219999998</v>
      </c>
      <c r="G435">
        <v>28.31777778</v>
      </c>
      <c r="H435">
        <v>1486.897778</v>
      </c>
      <c r="I435">
        <v>3.05</v>
      </c>
      <c r="J435" t="s">
        <v>11</v>
      </c>
    </row>
    <row r="436" spans="1:10" x14ac:dyDescent="0.25">
      <c r="A436" t="s">
        <v>30</v>
      </c>
      <c r="B436">
        <v>2009</v>
      </c>
      <c r="C436">
        <v>588.55923080000002</v>
      </c>
      <c r="D436">
        <v>271.44307689999999</v>
      </c>
      <c r="E436">
        <v>53.63461538</v>
      </c>
      <c r="F436">
        <v>25.033076919999999</v>
      </c>
      <c r="G436">
        <v>26.456923079999999</v>
      </c>
      <c r="H436">
        <v>1445.251538</v>
      </c>
      <c r="I436">
        <v>2.0915384619999999</v>
      </c>
      <c r="J436" t="s">
        <v>11</v>
      </c>
    </row>
    <row r="437" spans="1:10" x14ac:dyDescent="0.25">
      <c r="A437" t="s">
        <v>30</v>
      </c>
      <c r="B437">
        <v>2010</v>
      </c>
      <c r="C437">
        <v>559.44833329999994</v>
      </c>
      <c r="D437">
        <v>294.83499999999998</v>
      </c>
      <c r="E437">
        <v>49.486666669999998</v>
      </c>
      <c r="F437">
        <v>26.298333329999998</v>
      </c>
      <c r="G437">
        <v>17.395</v>
      </c>
      <c r="H437">
        <v>1073.2349999999999</v>
      </c>
      <c r="I437">
        <v>2.63</v>
      </c>
      <c r="J437" t="s">
        <v>11</v>
      </c>
    </row>
    <row r="438" spans="1:10" x14ac:dyDescent="0.25">
      <c r="A438" t="s">
        <v>30</v>
      </c>
      <c r="B438">
        <v>2011</v>
      </c>
      <c r="C438">
        <v>656.74699999999996</v>
      </c>
      <c r="D438">
        <v>308.30200000000002</v>
      </c>
      <c r="E438">
        <v>51.857999999999997</v>
      </c>
      <c r="F438">
        <v>32.781999999999996</v>
      </c>
      <c r="G438">
        <v>25.347999999999999</v>
      </c>
      <c r="H438">
        <v>1727.3340000000001</v>
      </c>
      <c r="I438">
        <v>2.2999999999999998</v>
      </c>
      <c r="J438" t="s">
        <v>12</v>
      </c>
    </row>
    <row r="439" spans="1:10" x14ac:dyDescent="0.25">
      <c r="A439" t="s">
        <v>30</v>
      </c>
      <c r="B439">
        <v>2012</v>
      </c>
      <c r="C439">
        <v>528.56181819999995</v>
      </c>
      <c r="D439">
        <v>344.87272730000001</v>
      </c>
      <c r="E439">
        <v>58.396363639999997</v>
      </c>
      <c r="F439">
        <v>29.32636364</v>
      </c>
      <c r="G439">
        <v>27.00636364</v>
      </c>
      <c r="H439">
        <v>1696.953636</v>
      </c>
      <c r="I439">
        <v>2.8981818179999999</v>
      </c>
      <c r="J439" t="s">
        <v>12</v>
      </c>
    </row>
    <row r="440" spans="1:10" x14ac:dyDescent="0.25">
      <c r="A440" t="s">
        <v>30</v>
      </c>
      <c r="B440">
        <v>2013</v>
      </c>
      <c r="C440">
        <v>486.4728571</v>
      </c>
      <c r="D440">
        <v>309.33857139999998</v>
      </c>
      <c r="E440">
        <v>50.362857140000003</v>
      </c>
      <c r="F440">
        <v>33.514285710000003</v>
      </c>
      <c r="G440">
        <v>20.888571429999999</v>
      </c>
      <c r="H440">
        <v>1671.73</v>
      </c>
      <c r="I440">
        <v>2.2000000000000002</v>
      </c>
      <c r="J440" t="s">
        <v>12</v>
      </c>
    </row>
    <row r="441" spans="1:10" x14ac:dyDescent="0.25">
      <c r="A441" t="s">
        <v>30</v>
      </c>
      <c r="B441">
        <v>2014</v>
      </c>
      <c r="C441">
        <v>333.60666670000001</v>
      </c>
      <c r="D441">
        <v>290.32555559999997</v>
      </c>
      <c r="E441">
        <v>47.011111110000002</v>
      </c>
      <c r="F441">
        <v>33.992222220000002</v>
      </c>
      <c r="G441">
        <v>20.02222222</v>
      </c>
      <c r="H441">
        <v>1442.0877780000001</v>
      </c>
      <c r="I441">
        <v>2.1244444439999999</v>
      </c>
      <c r="J441" t="s">
        <v>11</v>
      </c>
    </row>
    <row r="442" spans="1:10" x14ac:dyDescent="0.25">
      <c r="A442" t="s">
        <v>30</v>
      </c>
      <c r="B442">
        <v>2015</v>
      </c>
      <c r="C442">
        <v>519.41666669999995</v>
      </c>
      <c r="D442">
        <v>283.24</v>
      </c>
      <c r="E442">
        <v>45.151666669999997</v>
      </c>
      <c r="F442">
        <v>27.743333329999999</v>
      </c>
      <c r="G442">
        <v>28.626666669999999</v>
      </c>
      <c r="H442">
        <v>2226.5733329999998</v>
      </c>
      <c r="I442">
        <v>2.7850000000000001</v>
      </c>
      <c r="J442" t="s">
        <v>11</v>
      </c>
    </row>
    <row r="443" spans="1:10" x14ac:dyDescent="0.25">
      <c r="A443" t="s">
        <v>30</v>
      </c>
      <c r="B443">
        <v>2016</v>
      </c>
      <c r="C443">
        <v>546.48500000000001</v>
      </c>
      <c r="D443">
        <v>245.26499999999999</v>
      </c>
      <c r="E443">
        <v>55.773571429999997</v>
      </c>
      <c r="F443">
        <v>31.12214286</v>
      </c>
      <c r="G443">
        <v>22.05285714</v>
      </c>
      <c r="H443">
        <v>1809.780714</v>
      </c>
      <c r="I443">
        <v>3.039285714</v>
      </c>
      <c r="J443" t="s">
        <v>11</v>
      </c>
    </row>
    <row r="444" spans="1:10" x14ac:dyDescent="0.25">
      <c r="A444" t="s">
        <v>30</v>
      </c>
      <c r="B444">
        <v>2017</v>
      </c>
      <c r="C444">
        <v>600.29333329999997</v>
      </c>
      <c r="D444">
        <v>321.40333329999999</v>
      </c>
      <c r="E444">
        <v>42.67166667</v>
      </c>
      <c r="F444">
        <v>24.322500000000002</v>
      </c>
      <c r="G444">
        <v>27.2075</v>
      </c>
      <c r="H444">
        <v>1419.7466669999999</v>
      </c>
      <c r="I444">
        <v>2.67</v>
      </c>
      <c r="J444" t="s">
        <v>12</v>
      </c>
    </row>
    <row r="445" spans="1:10" x14ac:dyDescent="0.25">
      <c r="A445" t="s">
        <v>30</v>
      </c>
      <c r="B445">
        <v>2018</v>
      </c>
      <c r="C445">
        <v>348.39428570000001</v>
      </c>
      <c r="D445">
        <v>285.08142859999998</v>
      </c>
      <c r="E445">
        <v>54.242857139999998</v>
      </c>
      <c r="F445">
        <v>25.042857139999999</v>
      </c>
      <c r="G445">
        <v>26.81142857</v>
      </c>
      <c r="H445">
        <v>1612.86</v>
      </c>
      <c r="I445">
        <v>2.2671428570000001</v>
      </c>
      <c r="J445" t="s">
        <v>11</v>
      </c>
    </row>
    <row r="446" spans="1:10" x14ac:dyDescent="0.25">
      <c r="A446" t="s">
        <v>30</v>
      </c>
      <c r="B446">
        <v>2019</v>
      </c>
      <c r="C446">
        <v>454.13714290000001</v>
      </c>
      <c r="D446">
        <v>368.23</v>
      </c>
      <c r="E446">
        <v>57.08714286</v>
      </c>
      <c r="F446">
        <v>37.637142859999997</v>
      </c>
      <c r="G446">
        <v>25.187142860000002</v>
      </c>
      <c r="H446">
        <v>1400.2442860000001</v>
      </c>
      <c r="I446">
        <v>2.042857143</v>
      </c>
      <c r="J446" t="s">
        <v>12</v>
      </c>
    </row>
    <row r="447" spans="1:10" x14ac:dyDescent="0.25">
      <c r="A447" t="s">
        <v>30</v>
      </c>
      <c r="B447">
        <v>2020</v>
      </c>
      <c r="C447">
        <v>316.5153846</v>
      </c>
      <c r="D447">
        <v>204.33461539999999</v>
      </c>
      <c r="E447">
        <v>55.452307689999998</v>
      </c>
      <c r="F447">
        <v>24.12153846</v>
      </c>
      <c r="G447">
        <v>25.9</v>
      </c>
      <c r="H447">
        <v>1310.8415379999999</v>
      </c>
      <c r="I447">
        <v>1.645384615</v>
      </c>
      <c r="J447" t="s">
        <v>11</v>
      </c>
    </row>
    <row r="448" spans="1:10" x14ac:dyDescent="0.25">
      <c r="A448" t="s">
        <v>30</v>
      </c>
      <c r="B448">
        <v>2021</v>
      </c>
      <c r="C448">
        <v>494.8125</v>
      </c>
      <c r="D448">
        <v>261.54750000000001</v>
      </c>
      <c r="E448">
        <v>51.059166670000003</v>
      </c>
      <c r="F448">
        <v>27.506666670000001</v>
      </c>
      <c r="G448">
        <v>25.660833329999999</v>
      </c>
      <c r="H448">
        <v>1566.1724999999999</v>
      </c>
      <c r="I448">
        <v>2.2025000000000001</v>
      </c>
      <c r="J448" t="s">
        <v>11</v>
      </c>
    </row>
    <row r="449" spans="1:10" x14ac:dyDescent="0.25">
      <c r="A449" t="s">
        <v>30</v>
      </c>
      <c r="B449">
        <v>2022</v>
      </c>
      <c r="C449">
        <v>494.20545449999997</v>
      </c>
      <c r="D449">
        <v>280.70909089999998</v>
      </c>
      <c r="E449">
        <v>59.330909089999999</v>
      </c>
      <c r="F449">
        <v>31.519090909999999</v>
      </c>
      <c r="G449">
        <v>22.018181819999999</v>
      </c>
      <c r="H449">
        <v>2069.79</v>
      </c>
      <c r="I449">
        <v>2.2827272729999999</v>
      </c>
      <c r="J449" t="s">
        <v>11</v>
      </c>
    </row>
    <row r="450" spans="1:10" x14ac:dyDescent="0.25">
      <c r="A450" t="s">
        <v>30</v>
      </c>
      <c r="B450">
        <v>2023</v>
      </c>
      <c r="C450">
        <v>589.71812499999999</v>
      </c>
      <c r="D450">
        <v>231.86</v>
      </c>
      <c r="E450">
        <v>46.844374999999999</v>
      </c>
      <c r="F450">
        <v>32.35125</v>
      </c>
      <c r="G450">
        <v>24.260625000000001</v>
      </c>
      <c r="H450">
        <v>1069.4143750000001</v>
      </c>
      <c r="I450">
        <v>2.4193750000000001</v>
      </c>
      <c r="J450" t="s">
        <v>11</v>
      </c>
    </row>
    <row r="451" spans="1:10" x14ac:dyDescent="0.25">
      <c r="A451" t="s">
        <v>30</v>
      </c>
      <c r="B451">
        <v>2024</v>
      </c>
      <c r="C451">
        <v>543.2171429</v>
      </c>
      <c r="D451">
        <v>289.77499999999998</v>
      </c>
      <c r="E451">
        <v>46.734285710000002</v>
      </c>
      <c r="F451">
        <v>28.234285710000002</v>
      </c>
      <c r="G451">
        <v>23.021428570000001</v>
      </c>
      <c r="H451">
        <v>1500.3792860000001</v>
      </c>
      <c r="I451">
        <v>2.7828571430000002</v>
      </c>
      <c r="J451" t="s">
        <v>11</v>
      </c>
    </row>
    <row r="452" spans="1:10" x14ac:dyDescent="0.25">
      <c r="A452" t="s">
        <v>31</v>
      </c>
      <c r="B452">
        <v>2000</v>
      </c>
      <c r="C452">
        <v>511.97777780000001</v>
      </c>
      <c r="D452">
        <v>303.7622222</v>
      </c>
      <c r="E452">
        <v>60.748888890000003</v>
      </c>
      <c r="F452">
        <v>30.202222219999999</v>
      </c>
      <c r="G452">
        <v>26.15</v>
      </c>
      <c r="H452">
        <v>1550.187778</v>
      </c>
      <c r="I452">
        <v>1.718888889</v>
      </c>
      <c r="J452" t="s">
        <v>12</v>
      </c>
    </row>
    <row r="453" spans="1:10" x14ac:dyDescent="0.25">
      <c r="A453" t="s">
        <v>31</v>
      </c>
      <c r="B453">
        <v>2001</v>
      </c>
      <c r="C453">
        <v>623.72916669999995</v>
      </c>
      <c r="D453">
        <v>291.40750000000003</v>
      </c>
      <c r="E453">
        <v>49.29666667</v>
      </c>
      <c r="F453">
        <v>19.98</v>
      </c>
      <c r="G453">
        <v>26.32833333</v>
      </c>
      <c r="H453">
        <v>914.58333330000005</v>
      </c>
      <c r="I453">
        <v>2.1291666669999998</v>
      </c>
      <c r="J453" t="s">
        <v>11</v>
      </c>
    </row>
    <row r="454" spans="1:10" x14ac:dyDescent="0.25">
      <c r="A454" t="s">
        <v>31</v>
      </c>
      <c r="B454">
        <v>2002</v>
      </c>
      <c r="C454">
        <v>553.67750000000001</v>
      </c>
      <c r="D454">
        <v>317.26375000000002</v>
      </c>
      <c r="E454">
        <v>44.546250000000001</v>
      </c>
      <c r="F454">
        <v>30.28</v>
      </c>
      <c r="G454">
        <v>25.577500000000001</v>
      </c>
      <c r="H454">
        <v>2245.4499999999998</v>
      </c>
      <c r="I454">
        <v>2.48875</v>
      </c>
      <c r="J454" t="s">
        <v>12</v>
      </c>
    </row>
    <row r="455" spans="1:10" x14ac:dyDescent="0.25">
      <c r="A455" t="s">
        <v>31</v>
      </c>
      <c r="B455">
        <v>2003</v>
      </c>
      <c r="C455">
        <v>461.87</v>
      </c>
      <c r="D455">
        <v>312.64833329999999</v>
      </c>
      <c r="E455">
        <v>40.428333330000001</v>
      </c>
      <c r="F455">
        <v>34.321666669999999</v>
      </c>
      <c r="G455">
        <v>24.305</v>
      </c>
      <c r="H455">
        <v>1304.866667</v>
      </c>
      <c r="I455">
        <v>2.0783333329999998</v>
      </c>
      <c r="J455" t="s">
        <v>12</v>
      </c>
    </row>
    <row r="456" spans="1:10" x14ac:dyDescent="0.25">
      <c r="A456" t="s">
        <v>31</v>
      </c>
      <c r="B456">
        <v>2004</v>
      </c>
      <c r="C456">
        <v>325.1322222</v>
      </c>
      <c r="D456">
        <v>356.47888890000002</v>
      </c>
      <c r="E456">
        <v>39.735555560000002</v>
      </c>
      <c r="F456">
        <v>28.57111111</v>
      </c>
      <c r="G456">
        <v>27.278888890000001</v>
      </c>
      <c r="H456">
        <v>1441.938889</v>
      </c>
      <c r="I456">
        <v>2.4411111110000001</v>
      </c>
      <c r="J456" t="s">
        <v>12</v>
      </c>
    </row>
    <row r="457" spans="1:10" x14ac:dyDescent="0.25">
      <c r="A457" t="s">
        <v>31</v>
      </c>
      <c r="B457">
        <v>2005</v>
      </c>
      <c r="C457">
        <v>366.83</v>
      </c>
      <c r="D457">
        <v>298.69714290000002</v>
      </c>
      <c r="E457">
        <v>51.122857140000001</v>
      </c>
      <c r="F457">
        <v>25.17</v>
      </c>
      <c r="G457">
        <v>31.76714286</v>
      </c>
      <c r="H457">
        <v>1276.9871430000001</v>
      </c>
      <c r="I457">
        <v>2.561428571</v>
      </c>
      <c r="J457" t="s">
        <v>11</v>
      </c>
    </row>
    <row r="458" spans="1:10" x14ac:dyDescent="0.25">
      <c r="A458" t="s">
        <v>31</v>
      </c>
      <c r="B458">
        <v>2006</v>
      </c>
      <c r="C458">
        <v>416.96499999999997</v>
      </c>
      <c r="D458">
        <v>313.61700000000002</v>
      </c>
      <c r="E458">
        <v>57.033999999999999</v>
      </c>
      <c r="F458">
        <v>31.292000000000002</v>
      </c>
      <c r="G458">
        <v>27.559000000000001</v>
      </c>
      <c r="H458">
        <v>1848.6559999999999</v>
      </c>
      <c r="I458">
        <v>2.2599999999999998</v>
      </c>
      <c r="J458" t="s">
        <v>12</v>
      </c>
    </row>
    <row r="459" spans="1:10" x14ac:dyDescent="0.25">
      <c r="A459" t="s">
        <v>31</v>
      </c>
      <c r="B459">
        <v>2007</v>
      </c>
      <c r="C459">
        <v>413.21187500000002</v>
      </c>
      <c r="D459">
        <v>249.99562499999999</v>
      </c>
      <c r="E459">
        <v>55.030625000000001</v>
      </c>
      <c r="F459">
        <v>26.978750000000002</v>
      </c>
      <c r="G459">
        <v>25.734999999999999</v>
      </c>
      <c r="H459">
        <v>1572.2550000000001</v>
      </c>
      <c r="I459">
        <v>2.5049999999999999</v>
      </c>
      <c r="J459" t="s">
        <v>11</v>
      </c>
    </row>
    <row r="460" spans="1:10" x14ac:dyDescent="0.25">
      <c r="A460" t="s">
        <v>31</v>
      </c>
      <c r="B460">
        <v>2008</v>
      </c>
      <c r="C460">
        <v>573.33000000000004</v>
      </c>
      <c r="D460">
        <v>313.12222220000001</v>
      </c>
      <c r="E460">
        <v>50.68222222</v>
      </c>
      <c r="F460">
        <v>28.24</v>
      </c>
      <c r="G460">
        <v>15.208888890000001</v>
      </c>
      <c r="H460">
        <v>1111.3033330000001</v>
      </c>
      <c r="I460">
        <v>2.5588888889999999</v>
      </c>
      <c r="J460" t="s">
        <v>12</v>
      </c>
    </row>
    <row r="461" spans="1:10" x14ac:dyDescent="0.25">
      <c r="A461" t="s">
        <v>31</v>
      </c>
      <c r="B461">
        <v>2009</v>
      </c>
      <c r="C461">
        <v>332.89666670000003</v>
      </c>
      <c r="D461">
        <v>223.77333329999999</v>
      </c>
      <c r="E461">
        <v>43.243333329999999</v>
      </c>
      <c r="F461">
        <v>13.276666669999999</v>
      </c>
      <c r="G461">
        <v>25.45333333</v>
      </c>
      <c r="H461">
        <v>1010.46</v>
      </c>
      <c r="I461">
        <v>4.1233333329999997</v>
      </c>
      <c r="J461" t="s">
        <v>11</v>
      </c>
    </row>
    <row r="462" spans="1:10" x14ac:dyDescent="0.25">
      <c r="A462" t="s">
        <v>31</v>
      </c>
      <c r="B462">
        <v>2010</v>
      </c>
      <c r="C462">
        <v>633.43555560000004</v>
      </c>
      <c r="D462">
        <v>289.05111110000001</v>
      </c>
      <c r="E462">
        <v>45.758888890000001</v>
      </c>
      <c r="F462">
        <v>29.082222219999998</v>
      </c>
      <c r="G462">
        <v>27.09444444</v>
      </c>
      <c r="H462">
        <v>1759.832222</v>
      </c>
      <c r="I462">
        <v>2.5844444439999998</v>
      </c>
      <c r="J462" t="s">
        <v>11</v>
      </c>
    </row>
    <row r="463" spans="1:10" x14ac:dyDescent="0.25">
      <c r="A463" t="s">
        <v>31</v>
      </c>
      <c r="B463">
        <v>2011</v>
      </c>
      <c r="C463">
        <v>540.56714290000002</v>
      </c>
      <c r="D463">
        <v>231.88428569999999</v>
      </c>
      <c r="E463">
        <v>56.941428569999999</v>
      </c>
      <c r="F463">
        <v>24.63428571</v>
      </c>
      <c r="G463">
        <v>28.805714290000001</v>
      </c>
      <c r="H463">
        <v>1563.4985710000001</v>
      </c>
      <c r="I463">
        <v>3.102857143</v>
      </c>
      <c r="J463" t="s">
        <v>11</v>
      </c>
    </row>
    <row r="464" spans="1:10" x14ac:dyDescent="0.25">
      <c r="A464" t="s">
        <v>31</v>
      </c>
      <c r="B464">
        <v>2012</v>
      </c>
      <c r="C464">
        <v>583.02800000000002</v>
      </c>
      <c r="D464">
        <v>256.86</v>
      </c>
      <c r="E464">
        <v>55.234000000000002</v>
      </c>
      <c r="F464">
        <v>25.091999999999999</v>
      </c>
      <c r="G464">
        <v>28.568000000000001</v>
      </c>
      <c r="H464">
        <v>1908.7529999999999</v>
      </c>
      <c r="I464">
        <v>2.57</v>
      </c>
      <c r="J464" t="s">
        <v>11</v>
      </c>
    </row>
    <row r="465" spans="1:10" x14ac:dyDescent="0.25">
      <c r="A465" t="s">
        <v>31</v>
      </c>
      <c r="B465">
        <v>2013</v>
      </c>
      <c r="C465">
        <v>470.03692310000002</v>
      </c>
      <c r="D465">
        <v>244.72846150000001</v>
      </c>
      <c r="E465">
        <v>50.427692309999998</v>
      </c>
      <c r="F465">
        <v>33.392307690000003</v>
      </c>
      <c r="G465">
        <v>26.907692310000002</v>
      </c>
      <c r="H465">
        <v>2098.4038460000002</v>
      </c>
      <c r="I465">
        <v>2.327692308</v>
      </c>
      <c r="J465" t="s">
        <v>11</v>
      </c>
    </row>
    <row r="466" spans="1:10" x14ac:dyDescent="0.25">
      <c r="A466" t="s">
        <v>31</v>
      </c>
      <c r="B466">
        <v>2014</v>
      </c>
      <c r="C466">
        <v>402.73250000000002</v>
      </c>
      <c r="D466">
        <v>311.57875000000001</v>
      </c>
      <c r="E466">
        <v>44.448749999999997</v>
      </c>
      <c r="F466">
        <v>32.548749999999998</v>
      </c>
      <c r="G466">
        <v>28.5425</v>
      </c>
      <c r="H466">
        <v>1369.095</v>
      </c>
      <c r="I466">
        <v>3</v>
      </c>
      <c r="J466" t="s">
        <v>12</v>
      </c>
    </row>
    <row r="467" spans="1:10" x14ac:dyDescent="0.25">
      <c r="A467" t="s">
        <v>31</v>
      </c>
      <c r="B467">
        <v>2015</v>
      </c>
      <c r="C467">
        <v>523.82777780000004</v>
      </c>
      <c r="D467">
        <v>224.7188889</v>
      </c>
      <c r="E467">
        <v>42.65888889</v>
      </c>
      <c r="F467">
        <v>24.40888889</v>
      </c>
      <c r="G467">
        <v>21.332222219999998</v>
      </c>
      <c r="H467">
        <v>1669.285556</v>
      </c>
      <c r="I467">
        <v>3.2122222219999998</v>
      </c>
      <c r="J467" t="s">
        <v>11</v>
      </c>
    </row>
    <row r="468" spans="1:10" x14ac:dyDescent="0.25">
      <c r="A468" t="s">
        <v>31</v>
      </c>
      <c r="B468">
        <v>2016</v>
      </c>
      <c r="C468">
        <v>394.58727270000003</v>
      </c>
      <c r="D468">
        <v>285.57</v>
      </c>
      <c r="E468">
        <v>53.005454550000003</v>
      </c>
      <c r="F468">
        <v>31.70909091</v>
      </c>
      <c r="G468">
        <v>22.008181820000001</v>
      </c>
      <c r="H468">
        <v>1527.5309090000001</v>
      </c>
      <c r="I468">
        <v>2.1390909090000001</v>
      </c>
      <c r="J468" t="s">
        <v>11</v>
      </c>
    </row>
    <row r="469" spans="1:10" x14ac:dyDescent="0.25">
      <c r="A469" t="s">
        <v>31</v>
      </c>
      <c r="B469">
        <v>2017</v>
      </c>
      <c r="C469">
        <v>361.1922222</v>
      </c>
      <c r="D469">
        <v>226.0122222</v>
      </c>
      <c r="E469">
        <v>48.275555560000001</v>
      </c>
      <c r="F469">
        <v>26.384444439999999</v>
      </c>
      <c r="G469">
        <v>27.134444439999999</v>
      </c>
      <c r="H469">
        <v>1948.0388889999999</v>
      </c>
      <c r="I469">
        <v>2.832222222</v>
      </c>
      <c r="J469" t="s">
        <v>11</v>
      </c>
    </row>
    <row r="470" spans="1:10" x14ac:dyDescent="0.25">
      <c r="A470" t="s">
        <v>31</v>
      </c>
      <c r="B470">
        <v>2018</v>
      </c>
      <c r="C470">
        <v>628.47111110000003</v>
      </c>
      <c r="D470">
        <v>248.58222219999999</v>
      </c>
      <c r="E470">
        <v>55.564444440000003</v>
      </c>
      <c r="F470">
        <v>30.032222220000001</v>
      </c>
      <c r="G470">
        <v>24.52111111</v>
      </c>
      <c r="H470">
        <v>1746.0377779999999</v>
      </c>
      <c r="I470">
        <v>2.2722222219999999</v>
      </c>
      <c r="J470" t="s">
        <v>11</v>
      </c>
    </row>
    <row r="471" spans="1:10" x14ac:dyDescent="0.25">
      <c r="A471" t="s">
        <v>31</v>
      </c>
      <c r="B471">
        <v>2019</v>
      </c>
      <c r="C471">
        <v>475.07916669999997</v>
      </c>
      <c r="D471">
        <v>281.06666669999998</v>
      </c>
      <c r="E471">
        <v>53.506666670000001</v>
      </c>
      <c r="F471">
        <v>26.58</v>
      </c>
      <c r="G471">
        <v>23.557500000000001</v>
      </c>
      <c r="H471">
        <v>1515.801667</v>
      </c>
      <c r="I471">
        <v>2.7116666669999998</v>
      </c>
      <c r="J471" t="s">
        <v>11</v>
      </c>
    </row>
    <row r="472" spans="1:10" x14ac:dyDescent="0.25">
      <c r="A472" t="s">
        <v>31</v>
      </c>
      <c r="B472">
        <v>2020</v>
      </c>
      <c r="C472">
        <v>553.33299999999997</v>
      </c>
      <c r="D472">
        <v>251.084</v>
      </c>
      <c r="E472">
        <v>52.326000000000001</v>
      </c>
      <c r="F472">
        <v>31.898</v>
      </c>
      <c r="G472">
        <v>20.013999999999999</v>
      </c>
      <c r="H472">
        <v>1944.06</v>
      </c>
      <c r="I472">
        <v>2.3780000000000001</v>
      </c>
      <c r="J472" t="s">
        <v>11</v>
      </c>
    </row>
    <row r="473" spans="1:10" x14ac:dyDescent="0.25">
      <c r="A473" t="s">
        <v>31</v>
      </c>
      <c r="B473">
        <v>2021</v>
      </c>
      <c r="C473">
        <v>525.81799999999998</v>
      </c>
      <c r="D473">
        <v>238.202</v>
      </c>
      <c r="E473">
        <v>56.3</v>
      </c>
      <c r="F473">
        <v>27.606000000000002</v>
      </c>
      <c r="G473">
        <v>28.488</v>
      </c>
      <c r="H473">
        <v>1511.7260000000001</v>
      </c>
      <c r="I473">
        <v>2.9140000000000001</v>
      </c>
      <c r="J473" t="s">
        <v>11</v>
      </c>
    </row>
    <row r="474" spans="1:10" x14ac:dyDescent="0.25">
      <c r="A474" t="s">
        <v>31</v>
      </c>
      <c r="B474">
        <v>2022</v>
      </c>
      <c r="C474">
        <v>471.93099999999998</v>
      </c>
      <c r="D474">
        <v>282.42500000000001</v>
      </c>
      <c r="E474">
        <v>54.908000000000001</v>
      </c>
      <c r="F474">
        <v>24.93</v>
      </c>
      <c r="G474">
        <v>26.099</v>
      </c>
      <c r="H474">
        <v>1836.5340000000001</v>
      </c>
      <c r="I474">
        <v>2.9369999999999998</v>
      </c>
      <c r="J474" t="s">
        <v>11</v>
      </c>
    </row>
    <row r="475" spans="1:10" x14ac:dyDescent="0.25">
      <c r="A475" t="s">
        <v>31</v>
      </c>
      <c r="B475">
        <v>2023</v>
      </c>
      <c r="C475">
        <v>519.03615379999997</v>
      </c>
      <c r="D475">
        <v>337.9776923</v>
      </c>
      <c r="E475">
        <v>50.621538459999996</v>
      </c>
      <c r="F475">
        <v>27.773076920000001</v>
      </c>
      <c r="G475">
        <v>23.569230770000001</v>
      </c>
      <c r="H475">
        <v>1585.790769</v>
      </c>
      <c r="I475">
        <v>2.5830769230000001</v>
      </c>
      <c r="J475" t="s">
        <v>12</v>
      </c>
    </row>
    <row r="476" spans="1:10" x14ac:dyDescent="0.25">
      <c r="A476" t="s">
        <v>31</v>
      </c>
      <c r="B476">
        <v>2024</v>
      </c>
      <c r="C476">
        <v>498.77875</v>
      </c>
      <c r="D476">
        <v>334.45375000000001</v>
      </c>
      <c r="E476">
        <v>48.768749999999997</v>
      </c>
      <c r="F476">
        <v>27.89</v>
      </c>
      <c r="G476">
        <v>25.574999999999999</v>
      </c>
      <c r="H476">
        <v>1576.25875</v>
      </c>
      <c r="I476">
        <v>2.82375</v>
      </c>
      <c r="J476" t="s">
        <v>12</v>
      </c>
    </row>
    <row r="477" spans="1:10" x14ac:dyDescent="0.25">
      <c r="A477" t="s">
        <v>32</v>
      </c>
      <c r="B477">
        <v>2000</v>
      </c>
      <c r="C477">
        <v>631.30399999999997</v>
      </c>
      <c r="D477">
        <v>275.05</v>
      </c>
      <c r="E477">
        <v>45.628999999999998</v>
      </c>
      <c r="F477">
        <v>29.396000000000001</v>
      </c>
      <c r="G477">
        <v>21.614999999999998</v>
      </c>
      <c r="H477">
        <v>2080.4050000000002</v>
      </c>
      <c r="I477">
        <v>1.8140000000000001</v>
      </c>
      <c r="J477" t="s">
        <v>11</v>
      </c>
    </row>
    <row r="478" spans="1:10" x14ac:dyDescent="0.25">
      <c r="A478" t="s">
        <v>32</v>
      </c>
      <c r="B478">
        <v>2001</v>
      </c>
      <c r="C478">
        <v>445.17272730000002</v>
      </c>
      <c r="D478">
        <v>300.58999999999997</v>
      </c>
      <c r="E478">
        <v>50.020909090000004</v>
      </c>
      <c r="F478">
        <v>20.72272727</v>
      </c>
      <c r="G478">
        <v>26.712727269999998</v>
      </c>
      <c r="H478">
        <v>1845.639091</v>
      </c>
      <c r="I478">
        <v>3.0254545450000001</v>
      </c>
      <c r="J478" t="s">
        <v>12</v>
      </c>
    </row>
    <row r="479" spans="1:10" x14ac:dyDescent="0.25">
      <c r="A479" t="s">
        <v>32</v>
      </c>
      <c r="B479">
        <v>2002</v>
      </c>
      <c r="C479">
        <v>606.12727270000005</v>
      </c>
      <c r="D479">
        <v>229.09636359999999</v>
      </c>
      <c r="E479">
        <v>46.245454549999998</v>
      </c>
      <c r="F479">
        <v>23.850909089999998</v>
      </c>
      <c r="G479">
        <v>28.93181818</v>
      </c>
      <c r="H479">
        <v>1411.564545</v>
      </c>
      <c r="I479">
        <v>2.382727273</v>
      </c>
      <c r="J479" t="s">
        <v>11</v>
      </c>
    </row>
    <row r="480" spans="1:10" x14ac:dyDescent="0.25">
      <c r="A480" t="s">
        <v>32</v>
      </c>
      <c r="B480">
        <v>2003</v>
      </c>
      <c r="C480">
        <v>601.77250000000004</v>
      </c>
      <c r="D480">
        <v>250.8616667</v>
      </c>
      <c r="E480">
        <v>47.184166670000003</v>
      </c>
      <c r="F480">
        <v>31.214166670000001</v>
      </c>
      <c r="G480">
        <v>25.23416667</v>
      </c>
      <c r="H480">
        <v>1179.5675000000001</v>
      </c>
      <c r="I480">
        <v>2.6441666669999999</v>
      </c>
      <c r="J480" t="s">
        <v>11</v>
      </c>
    </row>
    <row r="481" spans="1:10" x14ac:dyDescent="0.25">
      <c r="A481" t="s">
        <v>32</v>
      </c>
      <c r="B481">
        <v>2004</v>
      </c>
      <c r="C481">
        <v>626.24</v>
      </c>
      <c r="D481">
        <v>320.41230769999999</v>
      </c>
      <c r="E481">
        <v>52.508461539999999</v>
      </c>
      <c r="F481">
        <v>28.367692309999999</v>
      </c>
      <c r="G481">
        <v>24.63</v>
      </c>
      <c r="H481">
        <v>1542.064615</v>
      </c>
      <c r="I481">
        <v>3.1276923079999999</v>
      </c>
      <c r="J481" t="s">
        <v>12</v>
      </c>
    </row>
    <row r="482" spans="1:10" x14ac:dyDescent="0.25">
      <c r="A482" t="s">
        <v>32</v>
      </c>
      <c r="B482">
        <v>2005</v>
      </c>
      <c r="C482">
        <v>465.76499999999999</v>
      </c>
      <c r="D482">
        <v>326.798</v>
      </c>
      <c r="E482">
        <v>53.88</v>
      </c>
      <c r="F482">
        <v>18.971</v>
      </c>
      <c r="G482">
        <v>25.53</v>
      </c>
      <c r="H482">
        <v>1558.9469999999999</v>
      </c>
      <c r="I482">
        <v>2.9889999999999999</v>
      </c>
      <c r="J482" t="s">
        <v>12</v>
      </c>
    </row>
    <row r="483" spans="1:10" x14ac:dyDescent="0.25">
      <c r="A483" t="s">
        <v>32</v>
      </c>
      <c r="B483">
        <v>2006</v>
      </c>
      <c r="C483">
        <v>444.75888889999999</v>
      </c>
      <c r="D483">
        <v>334.03777780000001</v>
      </c>
      <c r="E483">
        <v>58.653333330000002</v>
      </c>
      <c r="F483">
        <v>28.872222220000001</v>
      </c>
      <c r="G483">
        <v>28.333333329999999</v>
      </c>
      <c r="H483">
        <v>1992.126667</v>
      </c>
      <c r="I483">
        <v>3.0844444439999998</v>
      </c>
      <c r="J483" t="s">
        <v>12</v>
      </c>
    </row>
    <row r="484" spans="1:10" x14ac:dyDescent="0.25">
      <c r="A484" t="s">
        <v>32</v>
      </c>
      <c r="B484">
        <v>2007</v>
      </c>
      <c r="C484">
        <v>649.62916670000004</v>
      </c>
      <c r="D484">
        <v>287.13</v>
      </c>
      <c r="E484">
        <v>49.732500000000002</v>
      </c>
      <c r="F484">
        <v>26.387499999999999</v>
      </c>
      <c r="G484">
        <v>24.375</v>
      </c>
      <c r="H484">
        <v>1783.709167</v>
      </c>
      <c r="I484">
        <v>3.150833333</v>
      </c>
      <c r="J484" t="s">
        <v>11</v>
      </c>
    </row>
    <row r="485" spans="1:10" x14ac:dyDescent="0.25">
      <c r="A485" t="s">
        <v>32</v>
      </c>
      <c r="B485">
        <v>2008</v>
      </c>
      <c r="C485">
        <v>548.25153850000004</v>
      </c>
      <c r="D485">
        <v>252.7869231</v>
      </c>
      <c r="E485">
        <v>46.986153850000001</v>
      </c>
      <c r="F485">
        <v>25.176153849999999</v>
      </c>
      <c r="G485">
        <v>24.98</v>
      </c>
      <c r="H485">
        <v>1691.000769</v>
      </c>
      <c r="I485">
        <v>1.8115384619999999</v>
      </c>
      <c r="J485" t="s">
        <v>11</v>
      </c>
    </row>
    <row r="486" spans="1:10" x14ac:dyDescent="0.25">
      <c r="A486" t="s">
        <v>32</v>
      </c>
      <c r="B486">
        <v>2009</v>
      </c>
      <c r="C486">
        <v>743.67111109999996</v>
      </c>
      <c r="D486">
        <v>291.45111109999999</v>
      </c>
      <c r="E486">
        <v>51.758888890000001</v>
      </c>
      <c r="F486">
        <v>27.08</v>
      </c>
      <c r="G486">
        <v>24.74777778</v>
      </c>
      <c r="H486">
        <v>1732.991111</v>
      </c>
      <c r="I486">
        <v>2.1488888890000002</v>
      </c>
      <c r="J486" t="s">
        <v>11</v>
      </c>
    </row>
    <row r="487" spans="1:10" x14ac:dyDescent="0.25">
      <c r="A487" t="s">
        <v>32</v>
      </c>
      <c r="B487">
        <v>2010</v>
      </c>
      <c r="C487">
        <v>626.22142859999997</v>
      </c>
      <c r="D487">
        <v>193.34</v>
      </c>
      <c r="E487">
        <v>53.695714289999998</v>
      </c>
      <c r="F487">
        <v>24.461428569999999</v>
      </c>
      <c r="G487">
        <v>20.448571430000001</v>
      </c>
      <c r="H487">
        <v>2032.701429</v>
      </c>
      <c r="I487">
        <v>1.9128571430000001</v>
      </c>
      <c r="J487" t="s">
        <v>15</v>
      </c>
    </row>
    <row r="488" spans="1:10" x14ac:dyDescent="0.25">
      <c r="A488" t="s">
        <v>32</v>
      </c>
      <c r="B488">
        <v>2011</v>
      </c>
      <c r="C488">
        <v>556.96666670000002</v>
      </c>
      <c r="D488">
        <v>302.70777779999997</v>
      </c>
      <c r="E488">
        <v>50.31</v>
      </c>
      <c r="F488">
        <v>26.794444439999999</v>
      </c>
      <c r="G488">
        <v>28.632222219999999</v>
      </c>
      <c r="H488">
        <v>2110.1133329999998</v>
      </c>
      <c r="I488">
        <v>1.811111111</v>
      </c>
      <c r="J488" t="s">
        <v>12</v>
      </c>
    </row>
    <row r="489" spans="1:10" x14ac:dyDescent="0.25">
      <c r="A489" t="s">
        <v>32</v>
      </c>
      <c r="B489">
        <v>2012</v>
      </c>
      <c r="C489">
        <v>589.28</v>
      </c>
      <c r="D489">
        <v>286.6557143</v>
      </c>
      <c r="E489">
        <v>53.030714289999999</v>
      </c>
      <c r="F489">
        <v>25.648571430000001</v>
      </c>
      <c r="G489">
        <v>29.545714289999999</v>
      </c>
      <c r="H489">
        <v>1492.6785709999999</v>
      </c>
      <c r="I489">
        <v>2.2864285710000001</v>
      </c>
      <c r="J489" t="s">
        <v>11</v>
      </c>
    </row>
    <row r="490" spans="1:10" x14ac:dyDescent="0.25">
      <c r="A490" t="s">
        <v>32</v>
      </c>
      <c r="B490">
        <v>2013</v>
      </c>
      <c r="C490">
        <v>318.79000000000002</v>
      </c>
      <c r="D490">
        <v>352.41</v>
      </c>
      <c r="E490">
        <v>49.142499999999998</v>
      </c>
      <c r="F490">
        <v>30.513750000000002</v>
      </c>
      <c r="G490">
        <v>23.555</v>
      </c>
      <c r="H490">
        <v>2019.1387500000001</v>
      </c>
      <c r="I490">
        <v>1.5325</v>
      </c>
      <c r="J490" t="s">
        <v>12</v>
      </c>
    </row>
    <row r="491" spans="1:10" x14ac:dyDescent="0.25">
      <c r="A491" t="s">
        <v>32</v>
      </c>
      <c r="B491">
        <v>2014</v>
      </c>
      <c r="C491">
        <v>455.44545449999998</v>
      </c>
      <c r="D491">
        <v>258.66636360000001</v>
      </c>
      <c r="E491">
        <v>45.854545450000003</v>
      </c>
      <c r="F491">
        <v>30.856363640000001</v>
      </c>
      <c r="G491">
        <v>22.04818182</v>
      </c>
      <c r="H491">
        <v>2111.826364</v>
      </c>
      <c r="I491">
        <v>1.940909091</v>
      </c>
      <c r="J491" t="s">
        <v>11</v>
      </c>
    </row>
    <row r="492" spans="1:10" x14ac:dyDescent="0.25">
      <c r="A492" t="s">
        <v>32</v>
      </c>
      <c r="B492">
        <v>2015</v>
      </c>
      <c r="C492">
        <v>451.54571429999999</v>
      </c>
      <c r="D492">
        <v>247.3714286</v>
      </c>
      <c r="E492">
        <v>49.78785714</v>
      </c>
      <c r="F492">
        <v>33.304285710000002</v>
      </c>
      <c r="G492">
        <v>23.839285709999999</v>
      </c>
      <c r="H492">
        <v>1341.8114290000001</v>
      </c>
      <c r="I492">
        <v>3.3885714290000002</v>
      </c>
      <c r="J492" t="s">
        <v>11</v>
      </c>
    </row>
    <row r="493" spans="1:10" x14ac:dyDescent="0.25">
      <c r="A493" t="s">
        <v>32</v>
      </c>
      <c r="B493">
        <v>2016</v>
      </c>
      <c r="C493">
        <v>502.99599999999998</v>
      </c>
      <c r="D493">
        <v>277.03800000000001</v>
      </c>
      <c r="E493">
        <v>47.667000000000002</v>
      </c>
      <c r="F493">
        <v>26.53</v>
      </c>
      <c r="G493">
        <v>23.103000000000002</v>
      </c>
      <c r="H493">
        <v>1739.999</v>
      </c>
      <c r="I493">
        <v>2.645</v>
      </c>
      <c r="J493" t="s">
        <v>11</v>
      </c>
    </row>
    <row r="494" spans="1:10" x14ac:dyDescent="0.25">
      <c r="A494" t="s">
        <v>32</v>
      </c>
      <c r="B494">
        <v>2017</v>
      </c>
      <c r="C494">
        <v>431.505</v>
      </c>
      <c r="D494">
        <v>248.01900000000001</v>
      </c>
      <c r="E494">
        <v>57.999000000000002</v>
      </c>
      <c r="F494">
        <v>31.693999999999999</v>
      </c>
      <c r="G494">
        <v>29.452000000000002</v>
      </c>
      <c r="H494">
        <v>1529.067</v>
      </c>
      <c r="I494">
        <v>2.3039999999999998</v>
      </c>
      <c r="J494" t="s">
        <v>11</v>
      </c>
    </row>
    <row r="495" spans="1:10" x14ac:dyDescent="0.25">
      <c r="A495" t="s">
        <v>32</v>
      </c>
      <c r="B495">
        <v>2018</v>
      </c>
      <c r="C495">
        <v>568.125</v>
      </c>
      <c r="D495">
        <v>275.02</v>
      </c>
      <c r="E495">
        <v>41.67</v>
      </c>
      <c r="F495">
        <v>29.943333330000002</v>
      </c>
      <c r="G495">
        <v>18.65666667</v>
      </c>
      <c r="H495">
        <v>1245.6716670000001</v>
      </c>
      <c r="I495">
        <v>2.028333333</v>
      </c>
      <c r="J495" t="s">
        <v>11</v>
      </c>
    </row>
    <row r="496" spans="1:10" x14ac:dyDescent="0.25">
      <c r="A496" t="s">
        <v>32</v>
      </c>
      <c r="B496">
        <v>2019</v>
      </c>
      <c r="C496">
        <v>547.864375</v>
      </c>
      <c r="D496">
        <v>283.96875</v>
      </c>
      <c r="E496">
        <v>46.826875000000001</v>
      </c>
      <c r="F496">
        <v>25.886875</v>
      </c>
      <c r="G496">
        <v>22.58</v>
      </c>
      <c r="H496">
        <v>1461.9662499999999</v>
      </c>
      <c r="I496">
        <v>2.8250000000000002</v>
      </c>
      <c r="J496" t="s">
        <v>11</v>
      </c>
    </row>
    <row r="497" spans="1:10" x14ac:dyDescent="0.25">
      <c r="A497" t="s">
        <v>32</v>
      </c>
      <c r="B497">
        <v>2020</v>
      </c>
      <c r="C497">
        <v>418.09699999999998</v>
      </c>
      <c r="D497">
        <v>292.97000000000003</v>
      </c>
      <c r="E497">
        <v>47.448</v>
      </c>
      <c r="F497">
        <v>25.265999999999998</v>
      </c>
      <c r="G497">
        <v>27.538</v>
      </c>
      <c r="H497">
        <v>1510.662</v>
      </c>
      <c r="I497">
        <v>2.431</v>
      </c>
      <c r="J497" t="s">
        <v>11</v>
      </c>
    </row>
    <row r="498" spans="1:10" x14ac:dyDescent="0.25">
      <c r="A498" t="s">
        <v>32</v>
      </c>
      <c r="B498">
        <v>2021</v>
      </c>
      <c r="C498">
        <v>572.09400000000005</v>
      </c>
      <c r="D498">
        <v>275.97800000000001</v>
      </c>
      <c r="E498">
        <v>46.195</v>
      </c>
      <c r="F498">
        <v>32.222999999999999</v>
      </c>
      <c r="G498">
        <v>26.72</v>
      </c>
      <c r="H498">
        <v>754.61500000000001</v>
      </c>
      <c r="I498">
        <v>2.6280000000000001</v>
      </c>
      <c r="J498" t="s">
        <v>11</v>
      </c>
    </row>
    <row r="499" spans="1:10" x14ac:dyDescent="0.25">
      <c r="A499" t="s">
        <v>32</v>
      </c>
      <c r="B499">
        <v>2022</v>
      </c>
      <c r="C499">
        <v>440.97800000000001</v>
      </c>
      <c r="D499">
        <v>292.03899999999999</v>
      </c>
      <c r="E499">
        <v>54.81</v>
      </c>
      <c r="F499">
        <v>30.917999999999999</v>
      </c>
      <c r="G499">
        <v>22.638000000000002</v>
      </c>
      <c r="H499">
        <v>2119.8980000000001</v>
      </c>
      <c r="I499">
        <v>2.871</v>
      </c>
      <c r="J499" t="s">
        <v>11</v>
      </c>
    </row>
    <row r="500" spans="1:10" x14ac:dyDescent="0.25">
      <c r="A500" t="s">
        <v>32</v>
      </c>
      <c r="B500">
        <v>2023</v>
      </c>
      <c r="C500">
        <v>566.86500000000001</v>
      </c>
      <c r="D500">
        <v>261.19749999999999</v>
      </c>
      <c r="E500">
        <v>62.945</v>
      </c>
      <c r="F500">
        <v>25.2075</v>
      </c>
      <c r="G500">
        <v>21.6325</v>
      </c>
      <c r="H500">
        <v>1439.155</v>
      </c>
      <c r="I500">
        <v>1.5974999999999999</v>
      </c>
      <c r="J500" t="s">
        <v>11</v>
      </c>
    </row>
    <row r="501" spans="1:10" x14ac:dyDescent="0.25">
      <c r="A501" t="s">
        <v>32</v>
      </c>
      <c r="B501">
        <v>2024</v>
      </c>
      <c r="C501">
        <v>249.48500000000001</v>
      </c>
      <c r="D501">
        <v>186.374</v>
      </c>
      <c r="E501">
        <v>51.386000000000003</v>
      </c>
      <c r="F501">
        <v>24.768999999999998</v>
      </c>
      <c r="G501">
        <v>27.677</v>
      </c>
      <c r="H501">
        <v>1771.1990000000001</v>
      </c>
      <c r="I501">
        <v>1.6379999999999999</v>
      </c>
      <c r="J501" t="s">
        <v>15</v>
      </c>
    </row>
  </sheetData>
  <scenarios current="2" show="2">
    <scenario name="m4" locked="1" count="1" user="MITS">
      <inputCells r="Y15" val="99"/>
    </scenario>
    <scenario name="m" locked="1" count="5" user="MITS" comment="Created by MITS on 08-06-2026">
      <inputCells r="Y15" val="90"/>
      <inputCells r="Y16" val=""/>
      <inputCells r="Y17" val=""/>
      <inputCells r="Y18" val=""/>
      <inputCells r="Y19" val=""/>
    </scenario>
    <scenario name="u" locked="1" count="5" user="MITS" comment="Created by MITS on 08-06-2026_x000a_Modified by MITS on 08-06-2026">
      <inputCells r="Y15" val="77"/>
      <inputCells r="Y16" val="90"/>
      <inputCells r="Y17" val="90"/>
      <inputCells r="Y18" val="90"/>
      <inputCells r="Y19" val="90"/>
    </scenario>
  </scenarios>
  <autoFilter ref="A1:K501" xr:uid="{1AE790FD-7048-40D3-B554-7A87A267CBFA}"/>
  <dataValidations count="2">
    <dataValidation type="whole" allowBlank="1" showInputMessage="1" showErrorMessage="1" sqref="Q1:Q1048576" xr:uid="{D585BEA1-377D-4884-BE58-025BD3589B28}">
      <formula1>2005</formula1>
      <formula2>2010</formula2>
    </dataValidation>
    <dataValidation allowBlank="1" showInputMessage="1" showErrorMessage="1" promptTitle="YEAR" prompt="UP TO 2000 TO 2025" sqref="L31" xr:uid="{7762353D-1B22-4471-989A-4864C90247ED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99390-D6DF-4E9A-88DF-387C38C640C5}">
  <sheetPr codeName="Sheet2"/>
  <dimension ref="A1:P20"/>
  <sheetViews>
    <sheetView tabSelected="1" workbookViewId="0">
      <selection activeCell="D14" sqref="D14"/>
    </sheetView>
  </sheetViews>
  <sheetFormatPr defaultRowHeight="15" x14ac:dyDescent="0.25"/>
  <cols>
    <col min="2" max="2" width="14.28515625" customWidth="1"/>
    <col min="13" max="13" width="9.42578125" customWidth="1"/>
    <col min="16" max="16" width="11.28515625" customWidth="1"/>
  </cols>
  <sheetData>
    <row r="1" spans="1:16" x14ac:dyDescent="0.25">
      <c r="A1" t="s">
        <v>38</v>
      </c>
      <c r="B1" t="s">
        <v>64</v>
      </c>
      <c r="C1" t="s">
        <v>58</v>
      </c>
    </row>
    <row r="2" spans="1:16" x14ac:dyDescent="0.25">
      <c r="A2" t="s">
        <v>33</v>
      </c>
      <c r="B2" t="s">
        <v>65</v>
      </c>
      <c r="C2">
        <v>300000</v>
      </c>
    </row>
    <row r="3" spans="1:16" x14ac:dyDescent="0.25">
      <c r="B3" t="s">
        <v>62</v>
      </c>
    </row>
    <row r="4" spans="1:16" x14ac:dyDescent="0.25">
      <c r="B4" t="s">
        <v>63</v>
      </c>
    </row>
    <row r="5" spans="1:16" x14ac:dyDescent="0.25">
      <c r="A5" t="s">
        <v>57</v>
      </c>
      <c r="B5" t="s">
        <v>61</v>
      </c>
      <c r="C5">
        <v>400000</v>
      </c>
    </row>
    <row r="6" spans="1:16" x14ac:dyDescent="0.25">
      <c r="B6" t="s">
        <v>62</v>
      </c>
    </row>
    <row r="7" spans="1:16" x14ac:dyDescent="0.25">
      <c r="B7" t="s">
        <v>63</v>
      </c>
    </row>
    <row r="8" spans="1:16" x14ac:dyDescent="0.25">
      <c r="A8" t="s">
        <v>59</v>
      </c>
      <c r="B8" t="s">
        <v>60</v>
      </c>
      <c r="C8">
        <v>500000</v>
      </c>
    </row>
    <row r="9" spans="1:16" x14ac:dyDescent="0.25">
      <c r="B9" t="s">
        <v>62</v>
      </c>
    </row>
    <row r="10" spans="1:16" x14ac:dyDescent="0.25">
      <c r="B10" t="s">
        <v>63</v>
      </c>
    </row>
    <row r="11" spans="1:16" x14ac:dyDescent="0.25">
      <c r="A11" t="s">
        <v>66</v>
      </c>
      <c r="B11" t="s">
        <v>67</v>
      </c>
      <c r="C11">
        <v>4700000</v>
      </c>
    </row>
    <row r="16" spans="1:16" x14ac:dyDescent="0.25">
      <c r="L16" t="s">
        <v>38</v>
      </c>
      <c r="M16" t="s">
        <v>53</v>
      </c>
      <c r="N16" t="s">
        <v>54</v>
      </c>
      <c r="O16" t="s">
        <v>55</v>
      </c>
      <c r="P16" t="s">
        <v>56</v>
      </c>
    </row>
    <row r="17" spans="12:16" x14ac:dyDescent="0.25">
      <c r="L17" t="s">
        <v>33</v>
      </c>
      <c r="M17">
        <v>56</v>
      </c>
      <c r="N17">
        <v>95</v>
      </c>
      <c r="O17">
        <v>59</v>
      </c>
      <c r="P17">
        <f>AVERAGE(M17:O17)</f>
        <v>70</v>
      </c>
    </row>
    <row r="18" spans="12:16" x14ac:dyDescent="0.25">
      <c r="L18" t="s">
        <v>50</v>
      </c>
      <c r="M18">
        <v>78</v>
      </c>
      <c r="N18">
        <v>57</v>
      </c>
      <c r="O18">
        <v>57</v>
      </c>
      <c r="P18">
        <f t="shared" ref="P18:P20" si="0">AVERAGE(M18:O18)</f>
        <v>64</v>
      </c>
    </row>
    <row r="19" spans="12:16" x14ac:dyDescent="0.25">
      <c r="L19" t="s">
        <v>51</v>
      </c>
      <c r="M19">
        <v>98</v>
      </c>
      <c r="N19">
        <v>96</v>
      </c>
      <c r="O19">
        <v>79</v>
      </c>
      <c r="P19">
        <f t="shared" si="0"/>
        <v>91</v>
      </c>
    </row>
    <row r="20" spans="12:16" x14ac:dyDescent="0.25">
      <c r="L20" t="s">
        <v>52</v>
      </c>
      <c r="M20">
        <v>78</v>
      </c>
      <c r="N20">
        <v>56</v>
      </c>
      <c r="O20">
        <v>68</v>
      </c>
      <c r="P20">
        <f t="shared" si="0"/>
        <v>67.333333333333329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E8FA98-443A-448D-897F-176037D843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cleaned_global_water_consumptio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MITS</cp:lastModifiedBy>
  <dcterms:created xsi:type="dcterms:W3CDTF">2026-06-06T10:24:56Z</dcterms:created>
  <dcterms:modified xsi:type="dcterms:W3CDTF">2026-06-09T04:00:32Z</dcterms:modified>
</cp:coreProperties>
</file>