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94F97214-AFE0-44A9-845A-189AEC678CE1}" xr6:coauthVersionLast="47" xr6:coauthVersionMax="47" xr10:uidLastSave="{00000000-0000-0000-0000-000000000000}"/>
  <bookViews>
    <workbookView xWindow="-120" yWindow="-120" windowWidth="29040" windowHeight="15720" xr2:uid="{913481DB-751E-4416-B720-23755F9A6F75}"/>
  </bookViews>
  <sheets>
    <sheet name="Sheet11" sheetId="12" r:id="rId1"/>
    <sheet name="Sheet12" sheetId="1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6" i="1" l="1"/>
  <c r="U37" i="1"/>
  <c r="K42" i="1"/>
  <c r="K43" i="1"/>
  <c r="K44" i="1"/>
  <c r="K45" i="1"/>
  <c r="K46" i="1"/>
  <c r="K47" i="1"/>
  <c r="K48" i="1"/>
  <c r="K49" i="1"/>
  <c r="K50" i="1"/>
  <c r="K51" i="1"/>
  <c r="K52" i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R34" i="1"/>
  <c r="S35" i="1"/>
</calcChain>
</file>

<file path=xl/sharedStrings.xml><?xml version="1.0" encoding="utf-8"?>
<sst xmlns="http://schemas.openxmlformats.org/spreadsheetml/2006/main" count="328" uniqueCount="112">
  <si>
    <t>Age</t>
  </si>
  <si>
    <t>Gender</t>
  </si>
  <si>
    <t>Weight (kg)</t>
  </si>
  <si>
    <t>Height (m)</t>
  </si>
  <si>
    <t>Max_BPM</t>
  </si>
  <si>
    <t>Avg_BPM</t>
  </si>
  <si>
    <t>Resting_BPM</t>
  </si>
  <si>
    <t>Session_Duration (hours)</t>
  </si>
  <si>
    <t>Calories_Burned</t>
  </si>
  <si>
    <t>Workout_Type</t>
  </si>
  <si>
    <t>Fat_Percentage</t>
  </si>
  <si>
    <t>Water_Intake (liters)</t>
  </si>
  <si>
    <t>Workout_Frequency (days/week)</t>
  </si>
  <si>
    <t>Experience_Level</t>
  </si>
  <si>
    <t>BMI</t>
  </si>
  <si>
    <t>Female</t>
  </si>
  <si>
    <t>Strength</t>
  </si>
  <si>
    <t>Male</t>
  </si>
  <si>
    <t>Cardio</t>
  </si>
  <si>
    <t>HIIT</t>
  </si>
  <si>
    <t>Yoga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</si>
  <si>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</si>
  <si>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</si>
  <si>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</si>
  <si>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</si>
  <si>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</si>
  <si>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</si>
  <si>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</si>
  <si>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</si>
  <si>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</si>
  <si>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</si>
  <si>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</si>
  <si>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</si>
  <si>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</si>
  <si>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</si>
  <si>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</si>
  <si>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</si>
  <si>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</si>
  <si>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</si>
  <si>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</si>
  <si>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</si>
  <si>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</si>
  <si>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</si>
  <si>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</si>
  <si>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</si>
  <si>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Column 1</t>
  </si>
  <si>
    <t>Column 2</t>
  </si>
  <si>
    <t>Column 3</t>
  </si>
  <si>
    <t>Rows</t>
  </si>
  <si>
    <t>Error</t>
  </si>
  <si>
    <t>Column 4</t>
  </si>
  <si>
    <t>Column 5</t>
  </si>
  <si>
    <t>Column 6</t>
  </si>
  <si>
    <t>correlation</t>
  </si>
  <si>
    <t>covarence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</si>
  <si>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</si>
  <si>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</si>
  <si>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</si>
  <si>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</si>
  <si>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</si>
  <si>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</si>
  <si>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</si>
  <si>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</si>
  <si>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</si>
  <si>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</si>
  <si>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</si>
  <si>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DESERIPTIVE_STA</t>
  </si>
  <si>
    <t>F-Test Two-Sample for Variances</t>
  </si>
  <si>
    <t>Observations</t>
  </si>
  <si>
    <t>P(F&lt;=f) one-tail</t>
  </si>
  <si>
    <t>F Critical one-tail</t>
  </si>
  <si>
    <t>More</t>
  </si>
  <si>
    <t>Frequency</t>
  </si>
  <si>
    <t>t-Test: Paired Two Sample for Means</t>
  </si>
  <si>
    <t>Pearson Correlation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</si>
  <si>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</si>
  <si>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</si>
  <si>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</si>
  <si>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</si>
  <si>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</si>
  <si>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</si>
  <si>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t-Test: Two-Sample Assuming Equal Variances</t>
  </si>
  <si>
    <t>Pooled Variance</t>
  </si>
  <si>
    <t>t-Test: Two-Sample Assuming Unequal Variances</t>
  </si>
  <si>
    <t>z-Test: Two Sample for Means</t>
  </si>
  <si>
    <t>Known Variance</t>
  </si>
  <si>
    <t>z</t>
  </si>
  <si>
    <t>P(Z&lt;=z) one-tail</t>
  </si>
  <si>
    <t>z Critical one-tail</t>
  </si>
  <si>
    <t>P(Z&lt;=z) two-tail</t>
  </si>
  <si>
    <t>z Critical two-tail</t>
  </si>
  <si>
    <t>SUMMARY OUTPUT</t>
  </si>
  <si>
    <t>Regression Statistics</t>
  </si>
  <si>
    <t>Multiple R</t>
  </si>
  <si>
    <t>R Square</t>
  </si>
  <si>
    <t>Adjusted R Square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</si>
  <si>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</si>
  <si>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</si>
  <si>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</si>
  <si>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</si>
  <si>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</si>
  <si>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</si>
  <si>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</si>
  <si>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95.0%</t>
  </si>
  <si>
    <t>Upper 95.0%</t>
  </si>
  <si>
    <t>RESIDUAL OUTPUT</t>
  </si>
  <si>
    <t>Observation</t>
  </si>
  <si>
    <t>Predicted Resting_BPM</t>
  </si>
  <si>
    <t>Residuals</t>
  </si>
  <si>
    <t>PROBABILITY OUTPUT</t>
  </si>
  <si>
    <t>Percentile</t>
  </si>
  <si>
    <t>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</si>
</sst>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4" applyNumberFormat="0" applyAlignment="0" applyProtection="0"/>
    <xf numFmtId="0" fontId="6" fillId="4" borderId="3" applyNumberFormat="0" applyAlignment="0" applyProtection="0"/>
    <xf numFmtId="0" fontId="2" fillId="5" borderId="5" applyNumberFormat="0" applyFont="0" applyAlignment="0" applyProtection="0"/>
    <xf numFmtId="0" fontId="7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7" fillId="14" borderId="0" applyNumberFormat="0" applyBorder="0" applyAlignment="0" applyProtection="0"/>
    <xf numFmtId="0" fontId="2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8" fillId="0" borderId="6" xfId="0" applyFont="1" applyBorder="1" applyAlignment="1">
      <alignment horizontal="right"/>
    </xf>
    <xf numFmtId="0" fontId="2" fillId="12" borderId="0" xfId="12"/>
    <xf numFmtId="0" fontId="2" fillId="12" borderId="2" xfId="12" applyBorder="1" applyAlignment="1">
      <alignment horizontal="center"/>
    </xf>
    <xf numFmtId="0" fontId="2" fillId="8" borderId="0" xfId="8"/>
    <xf numFmtId="0" fontId="2" fillId="8" borderId="2" xfId="8" applyBorder="1" applyAlignment="1">
      <alignment horizontal="center"/>
    </xf>
    <xf numFmtId="0" fontId="7" fillId="6" borderId="0" xfId="6" applyBorder="1" applyAlignment="1"/>
    <xf numFmtId="0" fontId="7" fillId="6" borderId="1" xfId="6" applyBorder="1" applyAlignment="1"/>
    <xf numFmtId="0" fontId="2" fillId="15" borderId="0" xfId="15"/>
    <xf numFmtId="0" fontId="2" fillId="15" borderId="2" xfId="15" applyBorder="1" applyAlignment="1">
      <alignment horizontal="center"/>
    </xf>
    <xf numFmtId="0" fontId="2" fillId="7" borderId="0" xfId="7"/>
    <xf numFmtId="0" fontId="2" fillId="7" borderId="2" xfId="7" applyBorder="1" applyAlignment="1">
      <alignment horizontal="center"/>
    </xf>
    <xf numFmtId="0" fontId="2" fillId="13" borderId="7" xfId="13" applyBorder="1" applyAlignment="1">
      <alignment horizontal="center"/>
    </xf>
    <xf numFmtId="0" fontId="2" fillId="13" borderId="7" xfId="13" applyBorder="1" applyAlignment="1"/>
    <xf numFmtId="0" fontId="4" fillId="3" borderId="0" xfId="2"/>
    <xf numFmtId="0" fontId="2" fillId="13" borderId="7" xfId="13" applyNumberFormat="1" applyBorder="1" applyAlignment="1"/>
    <xf numFmtId="0" fontId="2" fillId="9" borderId="7" xfId="9" applyBorder="1"/>
    <xf numFmtId="0" fontId="7" fillId="16" borderId="7" xfId="16" applyBorder="1" applyAlignment="1">
      <alignment horizontal="center"/>
    </xf>
    <xf numFmtId="0" fontId="7" fillId="16" borderId="7" xfId="16" applyBorder="1" applyAlignment="1"/>
    <xf numFmtId="0" fontId="2" fillId="11" borderId="0" xfId="11"/>
    <xf numFmtId="0" fontId="7" fillId="6" borderId="7" xfId="6" applyBorder="1" applyAlignment="1">
      <alignment horizontal="center"/>
    </xf>
    <xf numFmtId="0" fontId="7" fillId="6" borderId="7" xfId="6" applyBorder="1" applyAlignment="1"/>
    <xf numFmtId="0" fontId="2" fillId="12" borderId="0" xfId="12" applyBorder="1" applyAlignment="1"/>
    <xf numFmtId="0" fontId="3" fillId="2" borderId="0" xfId="1"/>
    <xf numFmtId="0" fontId="7" fillId="10" borderId="7" xfId="10" applyBorder="1" applyAlignment="1">
      <alignment horizontal="center"/>
    </xf>
    <xf numFmtId="0" fontId="7" fillId="10" borderId="7" xfId="10" applyBorder="1" applyAlignment="1"/>
    <xf numFmtId="0" fontId="4" fillId="3" borderId="7" xfId="2" applyBorder="1" applyAlignment="1">
      <alignment horizontal="center"/>
    </xf>
    <xf numFmtId="0" fontId="4" fillId="3" borderId="7" xfId="2" applyBorder="1" applyAlignment="1"/>
    <xf numFmtId="0" fontId="7" fillId="17" borderId="7" xfId="17" applyBorder="1" applyAlignment="1">
      <alignment horizontal="centerContinuous"/>
    </xf>
    <xf numFmtId="0" fontId="7" fillId="17" borderId="7" xfId="17" applyBorder="1" applyAlignment="1"/>
    <xf numFmtId="0" fontId="7" fillId="17" borderId="7" xfId="17" applyBorder="1" applyAlignment="1">
      <alignment horizontal="center"/>
    </xf>
    <xf numFmtId="0" fontId="7" fillId="10" borderId="0" xfId="10"/>
    <xf numFmtId="0" fontId="7" fillId="18" borderId="0" xfId="18"/>
    <xf numFmtId="0" fontId="7" fillId="14" borderId="0" xfId="14"/>
    <xf numFmtId="0" fontId="5" fillId="4" borderId="4" xfId="3" applyAlignment="1"/>
    <xf numFmtId="0" fontId="6" fillId="4" borderId="3" xfId="4" applyAlignment="1"/>
    <xf numFmtId="0" fontId="2" fillId="5" borderId="5" xfId="5" applyAlignment="1"/>
  </cellXfs>
  <cellStyles count="19">
    <cellStyle name="20% - Accent1" xfId="7" builtinId="30"/>
    <cellStyle name="20% - Accent2" xfId="11" builtinId="34"/>
    <cellStyle name="40% - Accent1" xfId="8" builtinId="31"/>
    <cellStyle name="40% - Accent2" xfId="12" builtinId="35"/>
    <cellStyle name="40% - Accent3" xfId="15" builtinId="39"/>
    <cellStyle name="60% - Accent1" xfId="9" builtinId="32"/>
    <cellStyle name="60% - Accent2" xfId="13" builtinId="36"/>
    <cellStyle name="Accent1" xfId="6" builtinId="29"/>
    <cellStyle name="Accent2" xfId="10" builtinId="33"/>
    <cellStyle name="Accent3" xfId="14" builtinId="37"/>
    <cellStyle name="Accent4" xfId="16" builtinId="41"/>
    <cellStyle name="Accent5" xfId="17" builtinId="45"/>
    <cellStyle name="Accent6" xfId="18" builtinId="49"/>
    <cellStyle name="Calculation" xfId="4" builtinId="22"/>
    <cellStyle name="Good" xfId="1" builtinId="26"/>
    <cellStyle name="Neutral" xfId="2" builtinId="28"/>
    <cellStyle name="Normal" xfId="0" builtinId="0"/>
    <cellStyle name="Note" xfId="5" builtinId="1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Sheet1!$AL$34:$AL$65</c:f>
              <c:numCache>
                <c:formatCode>General</c:formatCode>
                <c:ptCount val="32"/>
                <c:pt idx="0">
                  <c:v>1.5625</c:v>
                </c:pt>
                <c:pt idx="1">
                  <c:v>4.6875</c:v>
                </c:pt>
                <c:pt idx="2">
                  <c:v>7.8125</c:v>
                </c:pt>
                <c:pt idx="3">
                  <c:v>10.9375</c:v>
                </c:pt>
                <c:pt idx="4">
                  <c:v>14.0625</c:v>
                </c:pt>
                <c:pt idx="5">
                  <c:v>17.1875</c:v>
                </c:pt>
                <c:pt idx="6">
                  <c:v>20.3125</c:v>
                </c:pt>
                <c:pt idx="7">
                  <c:v>23.4375</c:v>
                </c:pt>
                <c:pt idx="8">
                  <c:v>26.5625</c:v>
                </c:pt>
                <c:pt idx="9">
                  <c:v>29.6875</c:v>
                </c:pt>
                <c:pt idx="10">
                  <c:v>32.8125</c:v>
                </c:pt>
                <c:pt idx="11">
                  <c:v>35.9375</c:v>
                </c:pt>
                <c:pt idx="12">
                  <c:v>39.0625</c:v>
                </c:pt>
                <c:pt idx="13">
                  <c:v>42.1875</c:v>
                </c:pt>
                <c:pt idx="14">
                  <c:v>45.3125</c:v>
                </c:pt>
                <c:pt idx="15">
                  <c:v>48.4375</c:v>
                </c:pt>
                <c:pt idx="16">
                  <c:v>51.5625</c:v>
                </c:pt>
                <c:pt idx="17">
                  <c:v>54.6875</c:v>
                </c:pt>
                <c:pt idx="18">
                  <c:v>57.8125</c:v>
                </c:pt>
                <c:pt idx="19">
                  <c:v>60.9375</c:v>
                </c:pt>
                <c:pt idx="20">
                  <c:v>64.0625</c:v>
                </c:pt>
                <c:pt idx="21">
                  <c:v>67.1875</c:v>
                </c:pt>
                <c:pt idx="22">
                  <c:v>70.3125</c:v>
                </c:pt>
                <c:pt idx="23">
                  <c:v>73.4375</c:v>
                </c:pt>
                <c:pt idx="24">
                  <c:v>76.5625</c:v>
                </c:pt>
                <c:pt idx="25">
                  <c:v>79.6875</c:v>
                </c:pt>
                <c:pt idx="26">
                  <c:v>82.8125</c:v>
                </c:pt>
                <c:pt idx="27">
                  <c:v>85.9375</c:v>
                </c:pt>
                <c:pt idx="28">
                  <c:v>89.0625</c:v>
                </c:pt>
                <c:pt idx="29">
                  <c:v>92.1875</c:v>
                </c:pt>
                <c:pt idx="30">
                  <c:v>95.3125</c:v>
                </c:pt>
                <c:pt idx="31">
                  <c:v>98.4375</c:v>
                </c:pt>
              </c:numCache>
            </c:numRef>
          </c:xVal>
          <c:yVal>
            <c:numRef>
              <c:f>Sheet1!$AM$34:$AM$65</c:f>
              <c:numCache>
                <c:formatCode>General</c:formatCode>
                <c:ptCount val="32"/>
                <c:pt idx="0">
                  <c:v>50</c:v>
                </c:pt>
                <c:pt idx="1">
                  <c:v>52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58</c:v>
                </c:pt>
                <c:pt idx="8">
                  <c:v>60</c:v>
                </c:pt>
                <c:pt idx="9">
                  <c:v>63</c:v>
                </c:pt>
                <c:pt idx="10">
                  <c:v>64</c:v>
                </c:pt>
                <c:pt idx="11">
                  <c:v>64</c:v>
                </c:pt>
                <c:pt idx="12">
                  <c:v>66</c:v>
                </c:pt>
                <c:pt idx="13">
                  <c:v>66</c:v>
                </c:pt>
                <c:pt idx="14">
                  <c:v>67</c:v>
                </c:pt>
                <c:pt idx="15">
                  <c:v>69</c:v>
                </c:pt>
                <c:pt idx="16">
                  <c:v>71</c:v>
                </c:pt>
                <c:pt idx="17">
                  <c:v>71</c:v>
                </c:pt>
                <c:pt idx="18">
                  <c:v>71</c:v>
                </c:pt>
                <c:pt idx="19">
                  <c:v>73</c:v>
                </c:pt>
                <c:pt idx="20">
                  <c:v>73</c:v>
                </c:pt>
                <c:pt idx="21">
                  <c:v>74</c:v>
                </c:pt>
                <c:pt idx="22">
                  <c:v>74</c:v>
                </c:pt>
                <c:pt idx="23">
                  <c:v>74</c:v>
                </c:pt>
                <c:pt idx="24">
                  <c:v>74</c:v>
                </c:pt>
                <c:pt idx="25">
                  <c:v>74</c:v>
                </c:pt>
                <c:pt idx="26">
                  <c:v>74</c:v>
                </c:pt>
                <c:pt idx="27">
                  <c:v>74</c:v>
                </c:pt>
                <c:pt idx="28">
                  <c:v>74</c:v>
                </c:pt>
                <c:pt idx="29">
                  <c:v>74</c:v>
                </c:pt>
                <c:pt idx="30">
                  <c:v>74</c:v>
                </c:pt>
                <c:pt idx="31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71-4221-8225-78C25417F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030320"/>
        <c:axId val="2019031280"/>
      </c:scatterChart>
      <c:valAx>
        <c:axId val="2019030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9031280"/>
        <c:crosses val="autoZero"/>
        <c:crossBetween val="midCat"/>
      </c:valAx>
      <c:valAx>
        <c:axId val="20190312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Resting_BPM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903032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142875</xdr:colOff>
      <xdr:row>9</xdr:row>
      <xdr:rowOff>66675</xdr:rowOff>
    </xdr:from>
    <xdr:to>
      <xdr:col>48</xdr:col>
      <xdr:colOff>142875</xdr:colOff>
      <xdr:row>19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96F38F-A6A2-C92F-978C-C60F10C1C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DA04-361D-46AB-9993-BD6355667965}">
  <dimension ref="A1:G24"/>
  <sheetViews>
    <sheetView tabSelected="1" workbookViewId="0">
      <selection activeCell="H12" sqref="H12"/>
    </sheetView>
  </sheetViews>
  <sheetFormatPr defaultRowHeight="15" x14ac:dyDescent="0.25"/>
  <cols>
    <col min="7" max="7" width="13.140625" customWidth="1"/>
  </cols>
  <sheetData>
    <row r="1" spans="1:4" x14ac:dyDescent="0.25">
      <c r="A1" t="s">
        <v>39</v>
      </c>
    </row>
    <row r="3" spans="1:4" x14ac:dyDescent="0.25">
      <c r="A3" t="s">
        <v>22</v>
      </c>
      <c r="B3">
        <v>86.7</v>
      </c>
      <c r="C3">
        <v>1.86</v>
      </c>
      <c r="D3" t="s">
        <v>38</v>
      </c>
    </row>
    <row r="4" spans="1:4" ht="15.75" thickBot="1" x14ac:dyDescent="0.3">
      <c r="A4" s="3" t="s">
        <v>15</v>
      </c>
      <c r="B4" s="3"/>
      <c r="C4" s="3"/>
      <c r="D4" s="3"/>
    </row>
    <row r="5" spans="1:4" x14ac:dyDescent="0.25">
      <c r="A5" t="s">
        <v>24</v>
      </c>
      <c r="B5">
        <v>32</v>
      </c>
      <c r="C5">
        <v>32</v>
      </c>
      <c r="D5">
        <v>64</v>
      </c>
    </row>
    <row r="6" spans="1:4" x14ac:dyDescent="0.25">
      <c r="A6" t="s">
        <v>25</v>
      </c>
      <c r="B6">
        <v>2327.0000000000005</v>
      </c>
      <c r="C6">
        <v>54.390000000000008</v>
      </c>
      <c r="D6">
        <v>2381.3900000000003</v>
      </c>
    </row>
    <row r="7" spans="1:4" x14ac:dyDescent="0.25">
      <c r="A7" t="s">
        <v>26</v>
      </c>
      <c r="B7">
        <v>72.718750000000014</v>
      </c>
      <c r="C7">
        <v>1.6996875000000002</v>
      </c>
      <c r="D7">
        <v>37.209218750000005</v>
      </c>
    </row>
    <row r="8" spans="1:4" x14ac:dyDescent="0.25">
      <c r="A8" t="s">
        <v>27</v>
      </c>
      <c r="B8">
        <v>576.2435080645148</v>
      </c>
      <c r="C8">
        <v>1.7641834677419352E-2</v>
      </c>
      <c r="D8">
        <v>1564.4985946180557</v>
      </c>
    </row>
    <row r="10" spans="1:4" ht="15.75" thickBot="1" x14ac:dyDescent="0.3">
      <c r="A10" s="3" t="s">
        <v>38</v>
      </c>
      <c r="B10" s="3"/>
      <c r="C10" s="3"/>
    </row>
    <row r="11" spans="1:4" x14ac:dyDescent="0.25">
      <c r="A11" t="s">
        <v>24</v>
      </c>
      <c r="B11">
        <v>32</v>
      </c>
      <c r="C11">
        <v>32</v>
      </c>
    </row>
    <row r="12" spans="1:4" x14ac:dyDescent="0.25">
      <c r="A12" t="s">
        <v>25</v>
      </c>
      <c r="B12">
        <v>2327.0000000000005</v>
      </c>
      <c r="C12">
        <v>54.390000000000008</v>
      </c>
    </row>
    <row r="13" spans="1:4" x14ac:dyDescent="0.25">
      <c r="A13" t="s">
        <v>26</v>
      </c>
      <c r="B13">
        <v>72.718750000000014</v>
      </c>
      <c r="C13">
        <v>1.6996875000000002</v>
      </c>
    </row>
    <row r="14" spans="1:4" x14ac:dyDescent="0.25">
      <c r="A14" t="s">
        <v>27</v>
      </c>
      <c r="B14">
        <v>576.2435080645148</v>
      </c>
      <c r="C14">
        <v>1.7641834677419352E-2</v>
      </c>
    </row>
    <row r="17" spans="1:7" ht="15.75" thickBot="1" x14ac:dyDescent="0.3">
      <c r="A17" t="s">
        <v>28</v>
      </c>
    </row>
    <row r="18" spans="1:7" x14ac:dyDescent="0.25">
      <c r="A18" s="2" t="s">
        <v>29</v>
      </c>
      <c r="B18" s="2" t="s">
        <v>30</v>
      </c>
      <c r="C18" s="2" t="s">
        <v>31</v>
      </c>
      <c r="D18" s="2" t="s">
        <v>32</v>
      </c>
      <c r="E18" s="2" t="s">
        <v>33</v>
      </c>
      <c r="F18" s="2" t="s">
        <v>34</v>
      </c>
      <c r="G18" s="2" t="s">
        <v>35</v>
      </c>
    </row>
    <row r="19" spans="1:7" x14ac:dyDescent="0.25">
      <c r="A19" t="s">
        <v>40</v>
      </c>
      <c r="B19">
        <v>0</v>
      </c>
      <c r="C19">
        <v>0</v>
      </c>
      <c r="D19">
        <v>65535</v>
      </c>
      <c r="E19">
        <v>65535</v>
      </c>
      <c r="F19" t="e">
        <v>#NUM!</v>
      </c>
      <c r="G19" t="e">
        <v>#NUM!</v>
      </c>
    </row>
    <row r="20" spans="1:7" x14ac:dyDescent="0.25">
      <c r="A20" t="s">
        <v>41</v>
      </c>
      <c r="B20">
        <v>80699.315814062502</v>
      </c>
      <c r="C20">
        <v>1</v>
      </c>
      <c r="D20">
        <v>80699.315814062502</v>
      </c>
      <c r="E20">
        <v>280.07897401440096</v>
      </c>
      <c r="F20">
        <v>1.1275888446992673E-24</v>
      </c>
      <c r="G20">
        <v>3.9958871259107291</v>
      </c>
    </row>
    <row r="21" spans="1:7" x14ac:dyDescent="0.25">
      <c r="A21" t="s">
        <v>42</v>
      </c>
      <c r="B21">
        <v>0</v>
      </c>
      <c r="C21">
        <v>0</v>
      </c>
      <c r="D21">
        <v>65535</v>
      </c>
      <c r="E21">
        <v>65535</v>
      </c>
      <c r="F21" t="e">
        <v>#NUM!</v>
      </c>
      <c r="G21" t="e">
        <v>#NUM!</v>
      </c>
    </row>
    <row r="22" spans="1:7" x14ac:dyDescent="0.25">
      <c r="A22" t="s">
        <v>43</v>
      </c>
      <c r="B22">
        <v>17864.095646874994</v>
      </c>
      <c r="C22">
        <v>62</v>
      </c>
      <c r="D22">
        <v>288.13057494959668</v>
      </c>
    </row>
    <row r="24" spans="1:7" ht="15.75" thickBot="1" x14ac:dyDescent="0.3">
      <c r="A24" s="1" t="s">
        <v>38</v>
      </c>
      <c r="B24" s="1">
        <v>98563.411460937496</v>
      </c>
      <c r="C24" s="1">
        <v>63</v>
      </c>
      <c r="D24" s="1"/>
      <c r="E24" s="1"/>
      <c r="F24" s="1"/>
      <c r="G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C934-584C-4EE4-BF52-CAFD7068D4CC}">
  <dimension ref="A1:G48"/>
  <sheetViews>
    <sheetView topLeftCell="A16" workbookViewId="0">
      <selection activeCell="B50" sqref="B50"/>
    </sheetView>
  </sheetViews>
  <sheetFormatPr defaultRowHeight="15" x14ac:dyDescent="0.25"/>
  <sheetData>
    <row r="1" spans="1:5" x14ac:dyDescent="0.25">
      <c r="A1" t="s">
        <v>44</v>
      </c>
    </row>
    <row r="2" spans="1:5" ht="15.75" thickBot="1" x14ac:dyDescent="0.3"/>
    <row r="3" spans="1:5" x14ac:dyDescent="0.25">
      <c r="A3" s="2" t="s">
        <v>22</v>
      </c>
      <c r="B3" s="2" t="s">
        <v>24</v>
      </c>
      <c r="C3" s="2" t="s">
        <v>25</v>
      </c>
      <c r="D3" s="2" t="s">
        <v>26</v>
      </c>
      <c r="E3" s="2" t="s">
        <v>27</v>
      </c>
    </row>
    <row r="4" spans="1:5" x14ac:dyDescent="0.25">
      <c r="A4">
        <v>86.7</v>
      </c>
      <c r="B4">
        <v>2</v>
      </c>
      <c r="C4">
        <v>175.86</v>
      </c>
      <c r="D4">
        <v>87.93</v>
      </c>
      <c r="E4">
        <v>14816.089799999996</v>
      </c>
    </row>
    <row r="5" spans="1:5" x14ac:dyDescent="0.25">
      <c r="A5">
        <v>84.7</v>
      </c>
      <c r="B5">
        <v>2</v>
      </c>
      <c r="C5">
        <v>167.83</v>
      </c>
      <c r="D5">
        <v>83.915000000000006</v>
      </c>
      <c r="E5">
        <v>13475.894449999998</v>
      </c>
    </row>
    <row r="6" spans="1:5" x14ac:dyDescent="0.25">
      <c r="A6">
        <v>64.8</v>
      </c>
      <c r="B6">
        <v>2</v>
      </c>
      <c r="C6">
        <v>188.85</v>
      </c>
      <c r="D6">
        <v>94.424999999999997</v>
      </c>
      <c r="E6">
        <v>17140.261250000003</v>
      </c>
    </row>
    <row r="7" spans="1:5" x14ac:dyDescent="0.25">
      <c r="A7">
        <v>75.3</v>
      </c>
      <c r="B7">
        <v>2</v>
      </c>
      <c r="C7">
        <v>188.82</v>
      </c>
      <c r="D7">
        <v>94.41</v>
      </c>
      <c r="E7">
        <v>17145.816200000005</v>
      </c>
    </row>
    <row r="8" spans="1:5" x14ac:dyDescent="0.25">
      <c r="A8">
        <v>52.8</v>
      </c>
      <c r="B8">
        <v>2</v>
      </c>
      <c r="C8">
        <v>178.74</v>
      </c>
      <c r="D8">
        <v>89.37</v>
      </c>
      <c r="E8">
        <v>15358.033799999999</v>
      </c>
    </row>
    <row r="9" spans="1:5" x14ac:dyDescent="0.25">
      <c r="A9">
        <v>53</v>
      </c>
      <c r="B9">
        <v>2</v>
      </c>
      <c r="C9">
        <v>162.58000000000001</v>
      </c>
      <c r="D9">
        <v>81.290000000000006</v>
      </c>
      <c r="E9">
        <v>12707.368199999997</v>
      </c>
    </row>
    <row r="10" spans="1:5" x14ac:dyDescent="0.25">
      <c r="A10">
        <v>46.5</v>
      </c>
      <c r="B10">
        <v>2</v>
      </c>
      <c r="C10">
        <v>192.81</v>
      </c>
      <c r="D10">
        <v>96.405000000000001</v>
      </c>
      <c r="E10">
        <v>17896.428050000002</v>
      </c>
    </row>
    <row r="11" spans="1:5" x14ac:dyDescent="0.25">
      <c r="A11">
        <v>88.5</v>
      </c>
      <c r="B11">
        <v>2</v>
      </c>
      <c r="C11">
        <v>182.63</v>
      </c>
      <c r="D11">
        <v>91.314999999999998</v>
      </c>
      <c r="E11">
        <v>16086.798450000002</v>
      </c>
    </row>
    <row r="12" spans="1:5" x14ac:dyDescent="0.25">
      <c r="A12">
        <v>82.9</v>
      </c>
      <c r="B12">
        <v>2</v>
      </c>
      <c r="C12">
        <v>175.54</v>
      </c>
      <c r="D12">
        <v>87.77</v>
      </c>
      <c r="E12">
        <v>14871.2258</v>
      </c>
    </row>
    <row r="13" spans="1:5" x14ac:dyDescent="0.25">
      <c r="A13">
        <v>65.900000000000006</v>
      </c>
      <c r="B13">
        <v>2</v>
      </c>
      <c r="C13">
        <v>196.74</v>
      </c>
      <c r="D13">
        <v>98.37</v>
      </c>
      <c r="E13">
        <v>18674.713799999998</v>
      </c>
    </row>
    <row r="14" spans="1:5" x14ac:dyDescent="0.25">
      <c r="A14">
        <v>47</v>
      </c>
      <c r="B14">
        <v>2</v>
      </c>
      <c r="C14">
        <v>182.78</v>
      </c>
      <c r="D14">
        <v>91.39</v>
      </c>
      <c r="E14">
        <v>16059.904199999997</v>
      </c>
    </row>
    <row r="15" spans="1:5" x14ac:dyDescent="0.25">
      <c r="A15">
        <v>40</v>
      </c>
      <c r="B15">
        <v>2</v>
      </c>
      <c r="C15">
        <v>169.88</v>
      </c>
      <c r="D15">
        <v>84.94</v>
      </c>
      <c r="E15">
        <v>13797.927200000002</v>
      </c>
    </row>
    <row r="16" spans="1:5" x14ac:dyDescent="0.25">
      <c r="A16">
        <v>87.7</v>
      </c>
      <c r="B16">
        <v>2</v>
      </c>
      <c r="C16">
        <v>187.98</v>
      </c>
      <c r="D16">
        <v>93.99</v>
      </c>
      <c r="E16">
        <v>16931.680200000006</v>
      </c>
    </row>
    <row r="17" spans="1:5" x14ac:dyDescent="0.25">
      <c r="A17">
        <v>107.4</v>
      </c>
      <c r="B17">
        <v>2</v>
      </c>
      <c r="C17">
        <v>177.73</v>
      </c>
      <c r="D17">
        <v>88.864999999999995</v>
      </c>
      <c r="E17">
        <v>15185.016450000003</v>
      </c>
    </row>
    <row r="18" spans="1:5" x14ac:dyDescent="0.25">
      <c r="A18">
        <v>71.7</v>
      </c>
      <c r="B18">
        <v>2</v>
      </c>
      <c r="C18">
        <v>198.91</v>
      </c>
      <c r="D18">
        <v>99.454999999999998</v>
      </c>
      <c r="E18">
        <v>19030.054049999999</v>
      </c>
    </row>
    <row r="19" spans="1:5" x14ac:dyDescent="0.25">
      <c r="A19">
        <v>90.6</v>
      </c>
      <c r="B19">
        <v>2</v>
      </c>
      <c r="C19">
        <v>162.6</v>
      </c>
      <c r="D19">
        <v>81.3</v>
      </c>
      <c r="E19">
        <v>12704.180000000002</v>
      </c>
    </row>
    <row r="20" spans="1:5" x14ac:dyDescent="0.25">
      <c r="A20">
        <v>56.2</v>
      </c>
      <c r="B20">
        <v>2</v>
      </c>
      <c r="C20">
        <v>196.76</v>
      </c>
      <c r="D20">
        <v>98.38</v>
      </c>
      <c r="E20">
        <v>18670.848800000003</v>
      </c>
    </row>
    <row r="21" spans="1:5" x14ac:dyDescent="0.25">
      <c r="A21">
        <v>71.3</v>
      </c>
      <c r="B21">
        <v>2</v>
      </c>
      <c r="C21">
        <v>172.77</v>
      </c>
      <c r="D21">
        <v>86.385000000000005</v>
      </c>
      <c r="E21">
        <v>14319.396449999998</v>
      </c>
    </row>
    <row r="22" spans="1:5" x14ac:dyDescent="0.25">
      <c r="A22">
        <v>47.7</v>
      </c>
      <c r="B22">
        <v>2</v>
      </c>
      <c r="C22">
        <v>182.56</v>
      </c>
      <c r="D22">
        <v>91.28</v>
      </c>
      <c r="E22">
        <v>16099.356800000001</v>
      </c>
    </row>
    <row r="23" spans="1:5" x14ac:dyDescent="0.25">
      <c r="A23">
        <v>63</v>
      </c>
      <c r="B23">
        <v>2</v>
      </c>
      <c r="C23">
        <v>185.51</v>
      </c>
      <c r="D23">
        <v>92.754999999999995</v>
      </c>
      <c r="E23">
        <v>16651.300050000005</v>
      </c>
    </row>
    <row r="24" spans="1:5" x14ac:dyDescent="0.25">
      <c r="A24">
        <v>129.9</v>
      </c>
      <c r="B24">
        <v>2</v>
      </c>
      <c r="C24">
        <v>197.71</v>
      </c>
      <c r="D24">
        <v>98.855000000000004</v>
      </c>
      <c r="E24">
        <v>18874.302049999995</v>
      </c>
    </row>
    <row r="25" spans="1:5" x14ac:dyDescent="0.25">
      <c r="A25">
        <v>102.4</v>
      </c>
      <c r="B25">
        <v>2</v>
      </c>
      <c r="C25">
        <v>174.5</v>
      </c>
      <c r="D25">
        <v>87.25</v>
      </c>
      <c r="E25">
        <v>14706.125</v>
      </c>
    </row>
    <row r="26" spans="1:5" x14ac:dyDescent="0.25">
      <c r="A26">
        <v>64.2</v>
      </c>
      <c r="B26">
        <v>2</v>
      </c>
      <c r="C26">
        <v>193.78</v>
      </c>
      <c r="D26">
        <v>96.89</v>
      </c>
      <c r="E26">
        <v>18091.824200000003</v>
      </c>
    </row>
    <row r="27" spans="1:5" x14ac:dyDescent="0.25">
      <c r="A27">
        <v>129.4</v>
      </c>
      <c r="B27">
        <v>2</v>
      </c>
      <c r="C27">
        <v>178.5</v>
      </c>
      <c r="D27">
        <v>89.25</v>
      </c>
      <c r="E27">
        <v>15400.125</v>
      </c>
    </row>
    <row r="28" spans="1:5" x14ac:dyDescent="0.25">
      <c r="A28">
        <v>57.2</v>
      </c>
      <c r="B28">
        <v>2</v>
      </c>
      <c r="C28">
        <v>185.82</v>
      </c>
      <c r="D28">
        <v>92.91</v>
      </c>
      <c r="E28">
        <v>16594.776200000004</v>
      </c>
    </row>
    <row r="29" spans="1:5" x14ac:dyDescent="0.25">
      <c r="A29">
        <v>71.8</v>
      </c>
      <c r="B29">
        <v>2</v>
      </c>
      <c r="C29">
        <v>166.5</v>
      </c>
      <c r="D29">
        <v>83.25</v>
      </c>
      <c r="E29">
        <v>13366.125</v>
      </c>
    </row>
    <row r="30" spans="1:5" x14ac:dyDescent="0.25">
      <c r="A30">
        <v>112.4</v>
      </c>
      <c r="B30">
        <v>2</v>
      </c>
      <c r="C30">
        <v>178.71</v>
      </c>
      <c r="D30">
        <v>89.355000000000004</v>
      </c>
      <c r="E30">
        <v>15363.292049999998</v>
      </c>
    </row>
    <row r="31" spans="1:5" x14ac:dyDescent="0.25">
      <c r="A31">
        <v>40</v>
      </c>
      <c r="B31">
        <v>2</v>
      </c>
      <c r="C31">
        <v>189.72</v>
      </c>
      <c r="D31">
        <v>94.86</v>
      </c>
      <c r="E31">
        <v>17350.119200000005</v>
      </c>
    </row>
    <row r="32" spans="1:5" x14ac:dyDescent="0.25">
      <c r="A32">
        <v>64.3</v>
      </c>
      <c r="B32">
        <v>2</v>
      </c>
      <c r="C32">
        <v>184.65</v>
      </c>
      <c r="D32">
        <v>92.325000000000003</v>
      </c>
      <c r="E32">
        <v>16443.911250000001</v>
      </c>
    </row>
    <row r="33" spans="1:7" x14ac:dyDescent="0.25">
      <c r="A33">
        <v>72.400000000000006</v>
      </c>
      <c r="B33">
        <v>2</v>
      </c>
      <c r="C33">
        <v>190.74</v>
      </c>
      <c r="D33">
        <v>95.37</v>
      </c>
      <c r="E33">
        <v>17533.1538</v>
      </c>
    </row>
    <row r="34" spans="1:7" x14ac:dyDescent="0.25">
      <c r="A34">
        <v>62.4</v>
      </c>
      <c r="B34">
        <v>2</v>
      </c>
      <c r="C34">
        <v>194.56</v>
      </c>
      <c r="D34">
        <v>97.28</v>
      </c>
      <c r="E34">
        <v>18324.636799999997</v>
      </c>
    </row>
    <row r="35" spans="1:7" x14ac:dyDescent="0.25">
      <c r="A35">
        <v>78.599999999999994</v>
      </c>
      <c r="B35">
        <v>2</v>
      </c>
      <c r="C35">
        <v>199.65</v>
      </c>
      <c r="D35">
        <v>99.825000000000003</v>
      </c>
      <c r="E35">
        <v>19276.661250000001</v>
      </c>
    </row>
    <row r="36" spans="1:7" x14ac:dyDescent="0.25">
      <c r="A36">
        <v>45</v>
      </c>
      <c r="B36">
        <v>2</v>
      </c>
      <c r="C36">
        <v>200.53</v>
      </c>
      <c r="D36">
        <v>100.265</v>
      </c>
      <c r="E36">
        <v>19497.200450000004</v>
      </c>
    </row>
    <row r="38" spans="1:7" x14ac:dyDescent="0.25">
      <c r="A38" t="s">
        <v>3</v>
      </c>
      <c r="B38">
        <v>33</v>
      </c>
      <c r="C38">
        <v>56.250000000000007</v>
      </c>
      <c r="D38">
        <v>1.7045454545454548</v>
      </c>
      <c r="E38">
        <v>1.7869318181818177E-2</v>
      </c>
    </row>
    <row r="39" spans="1:7" ht="15.75" thickBot="1" x14ac:dyDescent="0.3">
      <c r="A39" s="1" t="s">
        <v>4</v>
      </c>
      <c r="B39" s="1">
        <v>33</v>
      </c>
      <c r="C39" s="1">
        <v>6007</v>
      </c>
      <c r="D39" s="1">
        <v>182.03030303030303</v>
      </c>
      <c r="E39" s="1">
        <v>119.78030303030302</v>
      </c>
    </row>
    <row r="42" spans="1:7" ht="15.75" thickBot="1" x14ac:dyDescent="0.3">
      <c r="A42" t="s">
        <v>28</v>
      </c>
    </row>
    <row r="43" spans="1:7" x14ac:dyDescent="0.25">
      <c r="A43" s="2" t="s">
        <v>29</v>
      </c>
      <c r="B43" s="2" t="s">
        <v>30</v>
      </c>
      <c r="C43" s="2" t="s">
        <v>31</v>
      </c>
      <c r="D43" s="2" t="s">
        <v>32</v>
      </c>
      <c r="E43" s="2" t="s">
        <v>33</v>
      </c>
      <c r="F43" s="2" t="s">
        <v>34</v>
      </c>
      <c r="G43" s="2" t="s">
        <v>35</v>
      </c>
    </row>
    <row r="44" spans="1:7" x14ac:dyDescent="0.25">
      <c r="A44" t="s">
        <v>48</v>
      </c>
      <c r="B44">
        <v>1925.7462121209828</v>
      </c>
      <c r="C44">
        <v>32</v>
      </c>
      <c r="D44">
        <v>60.179569128780713</v>
      </c>
      <c r="E44">
        <v>1.0094092427326697</v>
      </c>
      <c r="F44">
        <v>0.48951589537528156</v>
      </c>
      <c r="G44">
        <v>1.8044816079040129</v>
      </c>
    </row>
    <row r="45" spans="1:7" x14ac:dyDescent="0.25">
      <c r="A45" t="s">
        <v>41</v>
      </c>
      <c r="B45">
        <v>536536.75094696949</v>
      </c>
      <c r="C45">
        <v>1</v>
      </c>
      <c r="D45">
        <v>536536.75094696949</v>
      </c>
      <c r="E45">
        <v>8999.4854285624297</v>
      </c>
      <c r="F45">
        <v>8.6486979126554188E-41</v>
      </c>
      <c r="G45">
        <v>4.1490974456995477</v>
      </c>
    </row>
    <row r="46" spans="1:7" x14ac:dyDescent="0.25">
      <c r="A46" t="s">
        <v>49</v>
      </c>
      <c r="B46">
        <v>1907.7953030305216</v>
      </c>
      <c r="C46">
        <v>32</v>
      </c>
      <c r="D46">
        <v>59.6186032197038</v>
      </c>
    </row>
    <row r="48" spans="1:7" ht="15.75" thickBot="1" x14ac:dyDescent="0.3">
      <c r="A48" s="1" t="s">
        <v>38</v>
      </c>
      <c r="B48" s="1">
        <v>540370.292462121</v>
      </c>
      <c r="C48" s="1">
        <v>65</v>
      </c>
      <c r="D48" s="1"/>
      <c r="E48" s="1"/>
      <c r="F48" s="1"/>
      <c r="G4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0180-FD8E-4E8F-9EE5-9E82D4E85EDD}">
  <dimension ref="A1:AP104"/>
  <sheetViews>
    <sheetView topLeftCell="A25" zoomScale="70" zoomScaleNormal="70" workbookViewId="0">
      <selection activeCell="O73" sqref="O73:O74"/>
    </sheetView>
  </sheetViews>
  <sheetFormatPr defaultRowHeight="15" x14ac:dyDescent="0.25"/>
  <cols>
    <col min="18" max="21" width="9.28515625" bestFit="1" customWidth="1"/>
    <col min="22" max="22" width="12" bestFit="1" customWidth="1"/>
    <col min="23" max="23" width="9.28515625" bestFit="1" customWidth="1"/>
    <col min="24" max="24" width="11.28515625" bestFit="1" customWidth="1"/>
    <col min="25" max="25" width="9.28515625" bestFit="1" customWidth="1"/>
    <col min="34" max="37" width="9.28515625" bestFit="1" customWidth="1"/>
    <col min="38" max="38" width="12" bestFit="1" customWidth="1"/>
    <col min="39" max="42" width="9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s="4" t="s">
        <v>21</v>
      </c>
      <c r="R1" s="4"/>
      <c r="S1" s="4"/>
      <c r="T1" s="4"/>
      <c r="U1" s="4"/>
    </row>
    <row r="2" spans="1:38" x14ac:dyDescent="0.25">
      <c r="A2">
        <v>34</v>
      </c>
      <c r="B2" t="s">
        <v>15</v>
      </c>
      <c r="C2">
        <v>86.7</v>
      </c>
      <c r="D2">
        <v>1.86</v>
      </c>
      <c r="E2">
        <v>174</v>
      </c>
      <c r="F2">
        <v>152</v>
      </c>
      <c r="G2">
        <v>74</v>
      </c>
      <c r="H2">
        <v>1.1200000000000001</v>
      </c>
      <c r="I2">
        <v>712</v>
      </c>
      <c r="J2" t="s">
        <v>16</v>
      </c>
      <c r="K2">
        <v>12.8</v>
      </c>
      <c r="L2">
        <v>2.4</v>
      </c>
      <c r="M2">
        <v>5</v>
      </c>
      <c r="N2">
        <v>2</v>
      </c>
      <c r="O2">
        <v>14.31</v>
      </c>
      <c r="Q2" s="4"/>
      <c r="R2" s="4"/>
      <c r="S2" s="4"/>
      <c r="T2" s="4"/>
      <c r="U2" s="4"/>
    </row>
    <row r="3" spans="1:38" ht="15.75" thickBot="1" x14ac:dyDescent="0.3">
      <c r="A3">
        <v>26</v>
      </c>
      <c r="B3" t="s">
        <v>15</v>
      </c>
      <c r="C3">
        <v>84.7</v>
      </c>
      <c r="D3">
        <v>1.83</v>
      </c>
      <c r="E3">
        <v>166</v>
      </c>
      <c r="F3">
        <v>156</v>
      </c>
      <c r="G3">
        <v>73</v>
      </c>
      <c r="H3">
        <v>1</v>
      </c>
      <c r="I3">
        <v>833</v>
      </c>
      <c r="J3" t="s">
        <v>16</v>
      </c>
      <c r="K3">
        <v>27.9</v>
      </c>
      <c r="L3">
        <v>2.8</v>
      </c>
      <c r="M3">
        <v>5</v>
      </c>
      <c r="N3">
        <v>2</v>
      </c>
      <c r="O3">
        <v>33.49</v>
      </c>
      <c r="Q3" s="4" t="s">
        <v>22</v>
      </c>
      <c r="R3" s="4"/>
      <c r="S3" s="4"/>
      <c r="T3" s="4"/>
      <c r="U3" s="4"/>
    </row>
    <row r="4" spans="1:38" x14ac:dyDescent="0.25">
      <c r="A4">
        <v>22</v>
      </c>
      <c r="B4" t="s">
        <v>17</v>
      </c>
      <c r="C4">
        <v>64.8</v>
      </c>
      <c r="D4">
        <v>1.85</v>
      </c>
      <c r="E4">
        <v>187</v>
      </c>
      <c r="F4">
        <v>166</v>
      </c>
      <c r="G4">
        <v>64</v>
      </c>
      <c r="H4">
        <v>1.24</v>
      </c>
      <c r="I4">
        <v>1678</v>
      </c>
      <c r="J4" t="s">
        <v>18</v>
      </c>
      <c r="K4">
        <v>28.7</v>
      </c>
      <c r="L4">
        <v>1.9</v>
      </c>
      <c r="M4">
        <v>3</v>
      </c>
      <c r="N4">
        <v>2</v>
      </c>
      <c r="O4">
        <v>12.73</v>
      </c>
      <c r="Q4" s="5" t="s">
        <v>23</v>
      </c>
      <c r="R4" s="5" t="s">
        <v>24</v>
      </c>
      <c r="S4" s="5" t="s">
        <v>25</v>
      </c>
      <c r="T4" s="5" t="s">
        <v>26</v>
      </c>
      <c r="U4" s="5" t="s">
        <v>27</v>
      </c>
    </row>
    <row r="5" spans="1:38" x14ac:dyDescent="0.25">
      <c r="A5">
        <v>54</v>
      </c>
      <c r="B5" t="s">
        <v>15</v>
      </c>
      <c r="C5">
        <v>75.3</v>
      </c>
      <c r="D5">
        <v>1.82</v>
      </c>
      <c r="E5">
        <v>187</v>
      </c>
      <c r="F5">
        <v>169</v>
      </c>
      <c r="G5">
        <v>58</v>
      </c>
      <c r="H5">
        <v>1.45</v>
      </c>
      <c r="I5">
        <v>628</v>
      </c>
      <c r="J5" t="s">
        <v>18</v>
      </c>
      <c r="K5">
        <v>31.8</v>
      </c>
      <c r="L5">
        <v>2.4</v>
      </c>
      <c r="M5">
        <v>4</v>
      </c>
      <c r="N5">
        <v>1</v>
      </c>
      <c r="O5">
        <v>20.37</v>
      </c>
      <c r="Q5" s="38">
        <v>86.7</v>
      </c>
      <c r="R5" s="38">
        <v>32</v>
      </c>
      <c r="S5" s="38">
        <v>2327.0000000000005</v>
      </c>
      <c r="T5" s="38">
        <v>72.718750000000014</v>
      </c>
      <c r="U5" s="38">
        <v>576.2435080645148</v>
      </c>
    </row>
    <row r="6" spans="1:38" x14ac:dyDescent="0.25">
      <c r="A6">
        <v>34</v>
      </c>
      <c r="B6" t="s">
        <v>15</v>
      </c>
      <c r="C6">
        <v>52.8</v>
      </c>
      <c r="D6">
        <v>1.74</v>
      </c>
      <c r="E6">
        <v>177</v>
      </c>
      <c r="F6">
        <v>169</v>
      </c>
      <c r="G6">
        <v>66</v>
      </c>
      <c r="H6">
        <v>1.6</v>
      </c>
      <c r="I6">
        <v>1286</v>
      </c>
      <c r="J6" t="s">
        <v>16</v>
      </c>
      <c r="K6">
        <v>26.4</v>
      </c>
      <c r="L6">
        <v>3.2</v>
      </c>
      <c r="M6">
        <v>4</v>
      </c>
      <c r="N6">
        <v>2</v>
      </c>
      <c r="O6">
        <v>20.83</v>
      </c>
      <c r="Q6" s="38">
        <v>1.86</v>
      </c>
      <c r="R6" s="38">
        <v>32</v>
      </c>
      <c r="S6" s="38">
        <v>54.390000000000008</v>
      </c>
      <c r="T6" s="38">
        <v>1.6996875000000002</v>
      </c>
      <c r="U6" s="38">
        <v>1.7641834677419352E-2</v>
      </c>
    </row>
    <row r="7" spans="1:38" x14ac:dyDescent="0.25">
      <c r="A7">
        <v>38</v>
      </c>
      <c r="B7" t="s">
        <v>15</v>
      </c>
      <c r="C7">
        <v>53</v>
      </c>
      <c r="D7">
        <v>1.58</v>
      </c>
      <c r="E7">
        <v>161</v>
      </c>
      <c r="F7">
        <v>128</v>
      </c>
      <c r="G7">
        <v>74</v>
      </c>
      <c r="H7">
        <v>1.62</v>
      </c>
      <c r="I7">
        <v>953</v>
      </c>
      <c r="J7" t="s">
        <v>19</v>
      </c>
      <c r="K7">
        <v>23.4</v>
      </c>
      <c r="L7">
        <v>2.5</v>
      </c>
      <c r="M7">
        <v>2</v>
      </c>
      <c r="N7">
        <v>2</v>
      </c>
      <c r="O7">
        <v>13.02</v>
      </c>
    </row>
    <row r="8" spans="1:38" x14ac:dyDescent="0.25">
      <c r="A8">
        <v>44</v>
      </c>
      <c r="B8" t="s">
        <v>15</v>
      </c>
      <c r="C8">
        <v>46.5</v>
      </c>
      <c r="D8">
        <v>1.81</v>
      </c>
      <c r="E8">
        <v>191</v>
      </c>
      <c r="F8">
        <v>142</v>
      </c>
      <c r="G8">
        <v>74</v>
      </c>
      <c r="H8">
        <v>1.46</v>
      </c>
      <c r="I8">
        <v>1238</v>
      </c>
      <c r="J8" t="s">
        <v>18</v>
      </c>
      <c r="K8">
        <v>11.9</v>
      </c>
      <c r="L8">
        <v>3.7</v>
      </c>
      <c r="M8">
        <v>2</v>
      </c>
      <c r="N8">
        <v>2</v>
      </c>
      <c r="O8">
        <v>18.12</v>
      </c>
      <c r="AH8" s="25" t="s">
        <v>111</v>
      </c>
      <c r="AI8" s="25"/>
      <c r="AJ8" s="25"/>
      <c r="AK8" s="25"/>
      <c r="AL8" s="25"/>
    </row>
    <row r="9" spans="1:38" ht="15.75" thickBot="1" x14ac:dyDescent="0.3">
      <c r="A9">
        <v>50</v>
      </c>
      <c r="B9" t="s">
        <v>15</v>
      </c>
      <c r="C9">
        <v>88.5</v>
      </c>
      <c r="D9">
        <v>1.63</v>
      </c>
      <c r="E9">
        <v>181</v>
      </c>
      <c r="F9">
        <v>136</v>
      </c>
      <c r="G9">
        <v>63</v>
      </c>
      <c r="H9">
        <v>1.63</v>
      </c>
      <c r="I9">
        <v>829</v>
      </c>
      <c r="J9" t="s">
        <v>16</v>
      </c>
      <c r="K9">
        <v>11.6</v>
      </c>
      <c r="L9">
        <v>1.8</v>
      </c>
      <c r="M9">
        <v>4</v>
      </c>
      <c r="N9">
        <v>2</v>
      </c>
      <c r="O9">
        <v>19.16</v>
      </c>
      <c r="Q9" s="6" t="s">
        <v>28</v>
      </c>
      <c r="R9" s="6"/>
      <c r="S9" s="6"/>
      <c r="T9" s="6"/>
      <c r="U9" s="6"/>
      <c r="V9" s="6"/>
      <c r="W9" s="6"/>
    </row>
    <row r="10" spans="1:38" x14ac:dyDescent="0.25">
      <c r="A10">
        <v>18</v>
      </c>
      <c r="B10" t="s">
        <v>15</v>
      </c>
      <c r="C10">
        <v>82.9</v>
      </c>
      <c r="D10">
        <v>1.54</v>
      </c>
      <c r="E10">
        <v>174</v>
      </c>
      <c r="F10">
        <v>169</v>
      </c>
      <c r="G10">
        <v>64</v>
      </c>
      <c r="H10">
        <v>0.77</v>
      </c>
      <c r="I10">
        <v>802</v>
      </c>
      <c r="J10" t="s">
        <v>19</v>
      </c>
      <c r="K10">
        <v>27.8</v>
      </c>
      <c r="L10">
        <v>2.2000000000000002</v>
      </c>
      <c r="M10">
        <v>3</v>
      </c>
      <c r="N10">
        <v>1</v>
      </c>
      <c r="O10">
        <v>49.84</v>
      </c>
      <c r="Q10" s="7" t="s">
        <v>29</v>
      </c>
      <c r="R10" s="7" t="s">
        <v>30</v>
      </c>
      <c r="S10" s="7" t="s">
        <v>31</v>
      </c>
      <c r="T10" s="7" t="s">
        <v>32</v>
      </c>
      <c r="U10" s="7" t="s">
        <v>33</v>
      </c>
      <c r="V10" s="7" t="s">
        <v>34</v>
      </c>
      <c r="W10" s="7" t="s">
        <v>35</v>
      </c>
      <c r="AH10" s="35" t="s">
        <v>91</v>
      </c>
      <c r="AI10" s="35"/>
    </row>
    <row r="11" spans="1:38" x14ac:dyDescent="0.25">
      <c r="A11">
        <v>34</v>
      </c>
      <c r="B11" t="s">
        <v>15</v>
      </c>
      <c r="C11">
        <v>65.900000000000006</v>
      </c>
      <c r="D11">
        <v>1.74</v>
      </c>
      <c r="E11">
        <v>195</v>
      </c>
      <c r="F11">
        <v>169</v>
      </c>
      <c r="G11">
        <v>73</v>
      </c>
      <c r="H11">
        <v>2</v>
      </c>
      <c r="I11">
        <v>1231</v>
      </c>
      <c r="J11" t="s">
        <v>20</v>
      </c>
      <c r="K11">
        <v>30.5</v>
      </c>
      <c r="L11">
        <v>3.2</v>
      </c>
      <c r="M11">
        <v>5</v>
      </c>
      <c r="N11">
        <v>2</v>
      </c>
      <c r="O11">
        <v>12.32</v>
      </c>
      <c r="Q11" s="37" t="s">
        <v>36</v>
      </c>
      <c r="R11" s="37">
        <v>80699.315814062502</v>
      </c>
      <c r="S11" s="37">
        <v>1</v>
      </c>
      <c r="T11" s="37">
        <v>80699.315814062502</v>
      </c>
      <c r="U11" s="37">
        <v>280.07897401440096</v>
      </c>
      <c r="V11" s="37">
        <v>1.1275888446992673E-24</v>
      </c>
      <c r="W11" s="37">
        <v>3.9958871259107291</v>
      </c>
      <c r="AH11" s="35"/>
      <c r="AI11" s="35"/>
    </row>
    <row r="12" spans="1:38" x14ac:dyDescent="0.25">
      <c r="A12">
        <v>39</v>
      </c>
      <c r="B12" t="s">
        <v>15</v>
      </c>
      <c r="C12">
        <v>47</v>
      </c>
      <c r="D12">
        <v>1.78</v>
      </c>
      <c r="E12">
        <v>181</v>
      </c>
      <c r="F12">
        <v>155</v>
      </c>
      <c r="G12">
        <v>55</v>
      </c>
      <c r="H12">
        <v>1.89</v>
      </c>
      <c r="I12">
        <v>747</v>
      </c>
      <c r="J12" t="s">
        <v>20</v>
      </c>
      <c r="K12">
        <v>31.7</v>
      </c>
      <c r="L12">
        <v>2.2999999999999998</v>
      </c>
      <c r="M12">
        <v>3</v>
      </c>
      <c r="N12">
        <v>3</v>
      </c>
      <c r="O12">
        <v>28.39</v>
      </c>
      <c r="Q12" s="37" t="s">
        <v>37</v>
      </c>
      <c r="R12" s="37">
        <v>17864.095646874994</v>
      </c>
      <c r="S12" s="37">
        <v>62</v>
      </c>
      <c r="T12" s="37">
        <v>288.13057494959668</v>
      </c>
      <c r="U12" s="37"/>
      <c r="V12" s="37"/>
      <c r="W12" s="37"/>
      <c r="AH12" s="30" t="s">
        <v>92</v>
      </c>
      <c r="AI12" s="30"/>
    </row>
    <row r="13" spans="1:38" x14ac:dyDescent="0.25">
      <c r="A13">
        <v>46</v>
      </c>
      <c r="B13" t="s">
        <v>17</v>
      </c>
      <c r="C13">
        <v>40</v>
      </c>
      <c r="D13">
        <v>1.88</v>
      </c>
      <c r="E13">
        <v>168</v>
      </c>
      <c r="F13">
        <v>131</v>
      </c>
      <c r="G13">
        <v>69</v>
      </c>
      <c r="H13">
        <v>2</v>
      </c>
      <c r="I13">
        <v>672</v>
      </c>
      <c r="K13">
        <v>25.4</v>
      </c>
      <c r="L13">
        <v>2.4</v>
      </c>
      <c r="M13">
        <v>2</v>
      </c>
      <c r="N13">
        <v>2</v>
      </c>
      <c r="O13">
        <v>12.32</v>
      </c>
      <c r="Q13" s="37"/>
      <c r="R13" s="37"/>
      <c r="S13" s="37"/>
      <c r="T13" s="37"/>
      <c r="U13" s="37"/>
      <c r="V13" s="37"/>
      <c r="W13" s="37"/>
      <c r="AH13" s="31" t="s">
        <v>93</v>
      </c>
      <c r="AI13" s="31">
        <v>0.17181971245200092</v>
      </c>
    </row>
    <row r="14" spans="1:38" x14ac:dyDescent="0.25">
      <c r="A14">
        <v>19</v>
      </c>
      <c r="B14" t="s">
        <v>17</v>
      </c>
      <c r="C14">
        <v>87.7</v>
      </c>
      <c r="D14">
        <v>1.98</v>
      </c>
      <c r="E14">
        <v>186</v>
      </c>
      <c r="F14">
        <v>145</v>
      </c>
      <c r="G14">
        <v>50</v>
      </c>
      <c r="H14">
        <v>1.61</v>
      </c>
      <c r="I14">
        <v>1705</v>
      </c>
      <c r="J14" t="s">
        <v>16</v>
      </c>
      <c r="K14">
        <v>14.1</v>
      </c>
      <c r="L14">
        <v>2.2999999999999998</v>
      </c>
      <c r="M14">
        <v>3</v>
      </c>
      <c r="N14">
        <v>2</v>
      </c>
      <c r="O14">
        <v>15.99</v>
      </c>
      <c r="Q14" s="37" t="s">
        <v>38</v>
      </c>
      <c r="R14" s="37">
        <v>98563.411460937496</v>
      </c>
      <c r="S14" s="37">
        <v>63</v>
      </c>
      <c r="T14" s="37"/>
      <c r="U14" s="37"/>
      <c r="V14" s="37"/>
      <c r="W14" s="37"/>
      <c r="AH14" s="31" t="s">
        <v>94</v>
      </c>
      <c r="AI14" s="31">
        <v>2.9522013587088284E-2</v>
      </c>
    </row>
    <row r="15" spans="1:38" x14ac:dyDescent="0.25">
      <c r="A15">
        <v>56</v>
      </c>
      <c r="B15" t="s">
        <v>15</v>
      </c>
      <c r="C15">
        <v>107.4</v>
      </c>
      <c r="D15">
        <v>1.73</v>
      </c>
      <c r="E15">
        <v>176</v>
      </c>
      <c r="F15">
        <v>141</v>
      </c>
      <c r="G15">
        <v>71</v>
      </c>
      <c r="H15">
        <v>0.65</v>
      </c>
      <c r="I15">
        <v>1564</v>
      </c>
      <c r="J15" t="s">
        <v>19</v>
      </c>
      <c r="K15">
        <v>26</v>
      </c>
      <c r="L15">
        <v>3</v>
      </c>
      <c r="M15">
        <v>2</v>
      </c>
      <c r="N15">
        <v>3</v>
      </c>
      <c r="O15">
        <v>14.48</v>
      </c>
      <c r="AH15" s="31" t="s">
        <v>95</v>
      </c>
      <c r="AI15" s="31">
        <v>-2.82725262667544E-3</v>
      </c>
    </row>
    <row r="16" spans="1:38" x14ac:dyDescent="0.25">
      <c r="A16">
        <v>19</v>
      </c>
      <c r="B16" t="s">
        <v>15</v>
      </c>
      <c r="C16">
        <v>71.7</v>
      </c>
      <c r="D16">
        <v>1.91</v>
      </c>
      <c r="E16">
        <v>197</v>
      </c>
      <c r="F16">
        <v>148</v>
      </c>
      <c r="G16">
        <v>74</v>
      </c>
      <c r="H16">
        <v>1.1499999999999999</v>
      </c>
      <c r="I16">
        <v>464</v>
      </c>
      <c r="J16" t="s">
        <v>18</v>
      </c>
      <c r="K16">
        <v>32.5</v>
      </c>
      <c r="L16">
        <v>2.7</v>
      </c>
      <c r="M16">
        <v>4</v>
      </c>
      <c r="N16">
        <v>2</v>
      </c>
      <c r="O16">
        <v>19.09</v>
      </c>
      <c r="AH16" s="31" t="s">
        <v>56</v>
      </c>
      <c r="AI16" s="31">
        <v>8.1513423366033102</v>
      </c>
    </row>
    <row r="17" spans="1:42" x14ac:dyDescent="0.25">
      <c r="A17">
        <v>30</v>
      </c>
      <c r="B17" t="s">
        <v>15</v>
      </c>
      <c r="C17">
        <v>90.6</v>
      </c>
      <c r="D17">
        <v>1.6</v>
      </c>
      <c r="E17">
        <v>161</v>
      </c>
      <c r="F17">
        <v>125</v>
      </c>
      <c r="G17">
        <v>52</v>
      </c>
      <c r="H17">
        <v>1.03</v>
      </c>
      <c r="I17">
        <v>1410</v>
      </c>
      <c r="J17" t="s">
        <v>20</v>
      </c>
      <c r="K17">
        <v>16</v>
      </c>
      <c r="L17">
        <v>3.5</v>
      </c>
      <c r="M17">
        <v>4</v>
      </c>
      <c r="N17">
        <v>2</v>
      </c>
      <c r="O17">
        <v>13.91</v>
      </c>
      <c r="AH17" s="31" t="s">
        <v>68</v>
      </c>
      <c r="AI17" s="31">
        <v>32</v>
      </c>
    </row>
    <row r="18" spans="1:42" x14ac:dyDescent="0.25">
      <c r="A18">
        <v>23</v>
      </c>
      <c r="B18" t="s">
        <v>17</v>
      </c>
      <c r="C18">
        <v>56.2</v>
      </c>
      <c r="D18">
        <v>1.76</v>
      </c>
      <c r="E18">
        <v>195</v>
      </c>
      <c r="F18">
        <v>141</v>
      </c>
      <c r="G18">
        <v>55</v>
      </c>
      <c r="H18">
        <v>1.45</v>
      </c>
      <c r="I18">
        <v>1195</v>
      </c>
      <c r="J18" t="s">
        <v>19</v>
      </c>
      <c r="K18">
        <v>23.9</v>
      </c>
      <c r="L18">
        <v>3.2</v>
      </c>
      <c r="M18">
        <v>4</v>
      </c>
      <c r="N18">
        <v>1</v>
      </c>
      <c r="O18">
        <v>22.61</v>
      </c>
    </row>
    <row r="19" spans="1:42" x14ac:dyDescent="0.25">
      <c r="A19">
        <v>39</v>
      </c>
      <c r="B19" t="s">
        <v>15</v>
      </c>
      <c r="C19">
        <v>71.3</v>
      </c>
      <c r="D19">
        <v>1.77</v>
      </c>
      <c r="E19">
        <v>171</v>
      </c>
      <c r="F19">
        <v>124</v>
      </c>
      <c r="G19">
        <v>74</v>
      </c>
      <c r="H19">
        <v>0.69</v>
      </c>
      <c r="I19">
        <v>871</v>
      </c>
      <c r="J19" t="s">
        <v>18</v>
      </c>
      <c r="K19">
        <v>21.9</v>
      </c>
      <c r="L19">
        <v>2.1</v>
      </c>
      <c r="M19">
        <v>5</v>
      </c>
      <c r="N19">
        <v>1</v>
      </c>
      <c r="O19">
        <v>14.31</v>
      </c>
      <c r="AH19" s="34" t="s">
        <v>28</v>
      </c>
      <c r="AI19" s="34"/>
    </row>
    <row r="20" spans="1:42" x14ac:dyDescent="0.25">
      <c r="A20">
        <v>54</v>
      </c>
      <c r="B20" t="s">
        <v>15</v>
      </c>
      <c r="C20">
        <v>47.7</v>
      </c>
      <c r="D20">
        <v>1.56</v>
      </c>
      <c r="E20">
        <v>181</v>
      </c>
      <c r="F20">
        <v>128</v>
      </c>
      <c r="G20">
        <v>74</v>
      </c>
      <c r="H20">
        <v>1.5</v>
      </c>
      <c r="I20">
        <v>853</v>
      </c>
      <c r="J20" t="s">
        <v>20</v>
      </c>
      <c r="K20">
        <v>26.5</v>
      </c>
      <c r="L20">
        <v>1.5</v>
      </c>
      <c r="M20">
        <v>3</v>
      </c>
      <c r="N20">
        <v>1</v>
      </c>
      <c r="O20">
        <v>23.64</v>
      </c>
      <c r="AH20" s="32"/>
      <c r="AI20" s="32" t="s">
        <v>31</v>
      </c>
      <c r="AJ20" s="32" t="s">
        <v>30</v>
      </c>
      <c r="AK20" s="32" t="s">
        <v>32</v>
      </c>
      <c r="AL20" s="32" t="s">
        <v>33</v>
      </c>
      <c r="AM20" s="32" t="s">
        <v>99</v>
      </c>
    </row>
    <row r="21" spans="1:42" x14ac:dyDescent="0.25">
      <c r="B21" t="s">
        <v>17</v>
      </c>
      <c r="C21">
        <v>63</v>
      </c>
      <c r="D21">
        <v>1.51</v>
      </c>
      <c r="E21">
        <v>184</v>
      </c>
      <c r="F21">
        <v>169</v>
      </c>
      <c r="G21">
        <v>71</v>
      </c>
      <c r="H21">
        <v>1.3</v>
      </c>
      <c r="I21">
        <v>1136</v>
      </c>
      <c r="J21" t="s">
        <v>18</v>
      </c>
      <c r="K21">
        <v>23.8</v>
      </c>
      <c r="L21">
        <v>2.2999999999999998</v>
      </c>
      <c r="M21">
        <v>3</v>
      </c>
      <c r="N21">
        <v>2</v>
      </c>
      <c r="O21">
        <v>22.69</v>
      </c>
      <c r="Q21" s="10" t="s">
        <v>53</v>
      </c>
      <c r="R21" s="10"/>
      <c r="S21" s="10"/>
      <c r="T21" s="10"/>
      <c r="U21" s="10"/>
      <c r="V21" s="10"/>
      <c r="W21" s="10"/>
      <c r="AH21" s="31" t="s">
        <v>96</v>
      </c>
      <c r="AI21" s="31">
        <v>1</v>
      </c>
      <c r="AJ21" s="31">
        <v>60.637293344954742</v>
      </c>
      <c r="AK21" s="31">
        <v>60.637293344954742</v>
      </c>
      <c r="AL21" s="31">
        <v>0.91260226405158706</v>
      </c>
      <c r="AM21" s="31">
        <v>0.34705996357735669</v>
      </c>
    </row>
    <row r="22" spans="1:42" ht="15.75" thickBot="1" x14ac:dyDescent="0.3">
      <c r="A22">
        <v>26</v>
      </c>
      <c r="B22" t="s">
        <v>17</v>
      </c>
      <c r="C22">
        <v>129.9</v>
      </c>
      <c r="D22">
        <v>1.71</v>
      </c>
      <c r="E22">
        <v>196</v>
      </c>
      <c r="F22">
        <v>136</v>
      </c>
      <c r="G22">
        <v>74</v>
      </c>
      <c r="H22">
        <v>1.27</v>
      </c>
      <c r="I22">
        <v>931</v>
      </c>
      <c r="J22" t="s">
        <v>20</v>
      </c>
      <c r="K22">
        <v>26.6</v>
      </c>
      <c r="L22">
        <v>1.8</v>
      </c>
      <c r="M22">
        <v>5</v>
      </c>
      <c r="N22">
        <v>1</v>
      </c>
      <c r="O22">
        <v>21.04</v>
      </c>
      <c r="Q22" s="10"/>
      <c r="R22" s="10"/>
      <c r="S22" s="10"/>
      <c r="T22" s="10"/>
      <c r="U22" s="10"/>
      <c r="V22" s="10"/>
      <c r="W22" s="10"/>
      <c r="AH22" s="31" t="s">
        <v>97</v>
      </c>
      <c r="AI22" s="31">
        <v>30</v>
      </c>
      <c r="AJ22" s="31">
        <v>1993.3314566550453</v>
      </c>
      <c r="AK22" s="31">
        <v>66.444381888501511</v>
      </c>
      <c r="AL22" s="31"/>
      <c r="AM22" s="31"/>
    </row>
    <row r="23" spans="1:42" x14ac:dyDescent="0.25">
      <c r="A23">
        <v>22</v>
      </c>
      <c r="B23" t="s">
        <v>15</v>
      </c>
      <c r="C23">
        <v>102.4</v>
      </c>
      <c r="D23">
        <v>1.5</v>
      </c>
      <c r="E23">
        <v>173</v>
      </c>
      <c r="F23">
        <v>156</v>
      </c>
      <c r="G23">
        <v>55</v>
      </c>
      <c r="H23">
        <v>1.44</v>
      </c>
      <c r="I23">
        <v>453</v>
      </c>
      <c r="J23" t="s">
        <v>19</v>
      </c>
      <c r="K23">
        <v>17.5</v>
      </c>
      <c r="L23">
        <v>1.6</v>
      </c>
      <c r="M23">
        <v>4</v>
      </c>
      <c r="N23">
        <v>3</v>
      </c>
      <c r="O23">
        <v>18.23</v>
      </c>
      <c r="Q23" s="11"/>
      <c r="R23" s="11" t="s">
        <v>45</v>
      </c>
      <c r="S23" s="11" t="s">
        <v>46</v>
      </c>
      <c r="T23" s="11" t="s">
        <v>47</v>
      </c>
      <c r="U23" s="11" t="s">
        <v>50</v>
      </c>
      <c r="V23" s="11" t="s">
        <v>51</v>
      </c>
      <c r="W23" s="11" t="s">
        <v>52</v>
      </c>
      <c r="AH23" s="31" t="s">
        <v>38</v>
      </c>
      <c r="AI23" s="31">
        <v>31</v>
      </c>
      <c r="AJ23" s="31">
        <v>2053.96875</v>
      </c>
      <c r="AK23" s="31"/>
      <c r="AL23" s="31"/>
      <c r="AM23" s="31"/>
    </row>
    <row r="24" spans="1:42" x14ac:dyDescent="0.25">
      <c r="A24">
        <v>36</v>
      </c>
      <c r="B24" t="s">
        <v>15</v>
      </c>
      <c r="C24">
        <v>64.2</v>
      </c>
      <c r="D24">
        <v>1.78</v>
      </c>
      <c r="E24">
        <v>192</v>
      </c>
      <c r="F24">
        <v>130</v>
      </c>
      <c r="G24">
        <v>74</v>
      </c>
      <c r="H24">
        <v>1.38</v>
      </c>
      <c r="I24">
        <v>1708</v>
      </c>
      <c r="J24" t="s">
        <v>20</v>
      </c>
      <c r="K24">
        <v>31.9</v>
      </c>
      <c r="L24">
        <v>2.1</v>
      </c>
      <c r="M24">
        <v>2</v>
      </c>
      <c r="N24">
        <v>1</v>
      </c>
      <c r="O24">
        <v>25.59</v>
      </c>
      <c r="Q24" s="36" t="s">
        <v>2</v>
      </c>
      <c r="R24" s="36">
        <v>1</v>
      </c>
      <c r="S24" s="36"/>
      <c r="T24" s="36"/>
      <c r="U24" s="36"/>
      <c r="V24" s="36"/>
      <c r="W24" s="36"/>
    </row>
    <row r="25" spans="1:42" x14ac:dyDescent="0.25">
      <c r="A25">
        <v>18</v>
      </c>
      <c r="B25" t="s">
        <v>17</v>
      </c>
      <c r="C25">
        <v>129.4</v>
      </c>
      <c r="D25">
        <v>1.5</v>
      </c>
      <c r="E25">
        <v>177</v>
      </c>
      <c r="F25">
        <v>145</v>
      </c>
      <c r="G25">
        <v>71</v>
      </c>
      <c r="I25">
        <v>772</v>
      </c>
      <c r="J25" t="s">
        <v>16</v>
      </c>
      <c r="K25">
        <v>22</v>
      </c>
      <c r="L25">
        <v>1.7</v>
      </c>
      <c r="M25">
        <v>5</v>
      </c>
      <c r="N25">
        <v>1</v>
      </c>
      <c r="O25">
        <v>18.07</v>
      </c>
      <c r="Q25" s="36" t="s">
        <v>3</v>
      </c>
      <c r="R25" s="36">
        <v>-0.1473423079583655</v>
      </c>
      <c r="S25" s="36">
        <v>1</v>
      </c>
      <c r="T25" s="36"/>
      <c r="U25" s="36"/>
      <c r="V25" s="36"/>
      <c r="W25" s="36"/>
      <c r="AH25" s="32"/>
      <c r="AI25" s="32" t="s">
        <v>100</v>
      </c>
      <c r="AJ25" s="32" t="s">
        <v>56</v>
      </c>
      <c r="AK25" s="32" t="s">
        <v>76</v>
      </c>
      <c r="AL25" s="32" t="s">
        <v>34</v>
      </c>
      <c r="AM25" s="32" t="s">
        <v>101</v>
      </c>
      <c r="AN25" s="32" t="s">
        <v>102</v>
      </c>
      <c r="AO25" s="32" t="s">
        <v>103</v>
      </c>
      <c r="AP25" s="32" t="s">
        <v>104</v>
      </c>
    </row>
    <row r="26" spans="1:42" x14ac:dyDescent="0.25">
      <c r="A26">
        <v>25</v>
      </c>
      <c r="B26" t="s">
        <v>17</v>
      </c>
      <c r="C26">
        <v>57.2</v>
      </c>
      <c r="D26">
        <v>1.82</v>
      </c>
      <c r="E26">
        <v>184</v>
      </c>
      <c r="F26">
        <v>140</v>
      </c>
      <c r="G26">
        <v>74</v>
      </c>
      <c r="H26">
        <v>1.1499999999999999</v>
      </c>
      <c r="I26">
        <v>888</v>
      </c>
      <c r="J26" t="s">
        <v>16</v>
      </c>
      <c r="K26">
        <v>26.9</v>
      </c>
      <c r="L26">
        <v>2.6</v>
      </c>
      <c r="M26">
        <v>4</v>
      </c>
      <c r="N26">
        <v>2</v>
      </c>
      <c r="O26">
        <v>15.23</v>
      </c>
      <c r="Q26" s="36" t="s">
        <v>4</v>
      </c>
      <c r="R26" s="36">
        <v>-0.14836166123530684</v>
      </c>
      <c r="S26" s="36">
        <v>0.19171662667734923</v>
      </c>
      <c r="T26" s="36">
        <v>1</v>
      </c>
      <c r="U26" s="36"/>
      <c r="V26" s="36"/>
      <c r="W26" s="36"/>
      <c r="AH26" s="31" t="s">
        <v>98</v>
      </c>
      <c r="AI26" s="31">
        <v>70.544964484787954</v>
      </c>
      <c r="AJ26" s="31">
        <v>4.5036807725138086</v>
      </c>
      <c r="AK26" s="31">
        <v>15.663846539774186</v>
      </c>
      <c r="AL26" s="31">
        <v>5.5152288282235786E-16</v>
      </c>
      <c r="AM26" s="31">
        <v>61.34722129110952</v>
      </c>
      <c r="AN26" s="31">
        <v>79.742707678466388</v>
      </c>
      <c r="AO26" s="31">
        <v>61.34722129110952</v>
      </c>
      <c r="AP26" s="31">
        <v>79.742707678466388</v>
      </c>
    </row>
    <row r="27" spans="1:42" x14ac:dyDescent="0.25">
      <c r="A27">
        <v>59</v>
      </c>
      <c r="B27" t="s">
        <v>17</v>
      </c>
      <c r="C27">
        <v>71.8</v>
      </c>
      <c r="D27">
        <v>1.5</v>
      </c>
      <c r="E27">
        <v>165</v>
      </c>
      <c r="F27">
        <v>152</v>
      </c>
      <c r="G27">
        <v>74</v>
      </c>
      <c r="H27">
        <v>1.94</v>
      </c>
      <c r="I27">
        <v>758</v>
      </c>
      <c r="J27" t="s">
        <v>20</v>
      </c>
      <c r="K27">
        <v>28.9</v>
      </c>
      <c r="L27">
        <v>3.3</v>
      </c>
      <c r="M27">
        <v>3</v>
      </c>
      <c r="N27">
        <v>1</v>
      </c>
      <c r="O27">
        <v>16.87</v>
      </c>
      <c r="Q27" s="36" t="s">
        <v>5</v>
      </c>
      <c r="R27" s="36">
        <v>-1.6116198871877072E-2</v>
      </c>
      <c r="S27" s="36">
        <v>-3.3755624947321934E-2</v>
      </c>
      <c r="T27" s="36">
        <v>9.1337595443409011E-2</v>
      </c>
      <c r="U27" s="36">
        <v>1</v>
      </c>
      <c r="V27" s="36"/>
      <c r="W27" s="36"/>
      <c r="AH27" s="31">
        <v>712</v>
      </c>
      <c r="AI27" s="31">
        <v>-3.8917225143424022E-3</v>
      </c>
      <c r="AJ27" s="31">
        <v>4.073813058065999E-3</v>
      </c>
      <c r="AK27" s="31">
        <v>-0.95530218467853745</v>
      </c>
      <c r="AL27" s="31">
        <v>0.34705996357735691</v>
      </c>
      <c r="AM27" s="31">
        <v>-1.2211558714950907E-2</v>
      </c>
      <c r="AN27" s="31">
        <v>4.4281136862661021E-3</v>
      </c>
      <c r="AO27" s="31">
        <v>-1.2211558714950907E-2</v>
      </c>
      <c r="AP27" s="31">
        <v>4.4281136862661021E-3</v>
      </c>
    </row>
    <row r="28" spans="1:42" x14ac:dyDescent="0.25">
      <c r="A28">
        <v>18</v>
      </c>
      <c r="B28" t="s">
        <v>17</v>
      </c>
      <c r="C28">
        <v>112.4</v>
      </c>
      <c r="D28">
        <v>1.71</v>
      </c>
      <c r="E28">
        <v>177</v>
      </c>
      <c r="F28">
        <v>165</v>
      </c>
      <c r="G28">
        <v>55</v>
      </c>
      <c r="H28">
        <v>1.56</v>
      </c>
      <c r="I28">
        <v>1044</v>
      </c>
      <c r="J28" t="s">
        <v>19</v>
      </c>
      <c r="K28">
        <v>33.5</v>
      </c>
      <c r="L28">
        <v>1.7</v>
      </c>
      <c r="M28">
        <v>2</v>
      </c>
      <c r="N28">
        <v>2</v>
      </c>
      <c r="O28">
        <v>24.43</v>
      </c>
      <c r="Q28" s="36" t="s">
        <v>6</v>
      </c>
      <c r="R28" s="36">
        <v>-6.8505286787621786E-2</v>
      </c>
      <c r="S28" s="36">
        <v>8.8039441558313739E-2</v>
      </c>
      <c r="T28" s="36">
        <v>-0.1130740577841684</v>
      </c>
      <c r="U28" s="36">
        <v>-0.14065804969351337</v>
      </c>
      <c r="V28" s="36">
        <v>1</v>
      </c>
      <c r="W28" s="36"/>
    </row>
    <row r="29" spans="1:42" x14ac:dyDescent="0.25">
      <c r="A29">
        <v>18</v>
      </c>
      <c r="B29" t="s">
        <v>17</v>
      </c>
      <c r="C29">
        <v>40</v>
      </c>
      <c r="D29">
        <v>1.72</v>
      </c>
      <c r="E29">
        <v>188</v>
      </c>
      <c r="F29">
        <v>155</v>
      </c>
      <c r="G29">
        <v>74</v>
      </c>
      <c r="H29">
        <v>1.51</v>
      </c>
      <c r="I29">
        <v>1266</v>
      </c>
      <c r="J29" t="s">
        <v>18</v>
      </c>
      <c r="K29">
        <v>26.4</v>
      </c>
      <c r="L29">
        <v>2.5</v>
      </c>
      <c r="M29">
        <v>2</v>
      </c>
      <c r="N29">
        <v>3</v>
      </c>
      <c r="O29">
        <v>17.79</v>
      </c>
      <c r="Q29" s="36" t="s">
        <v>7</v>
      </c>
      <c r="R29" s="36">
        <v>-0.28140772865632274</v>
      </c>
      <c r="S29" s="36">
        <v>-1.1945231610025896E-3</v>
      </c>
      <c r="T29" s="36">
        <v>7.7634414189757139E-2</v>
      </c>
      <c r="U29" s="36">
        <v>2.176866772439532E-3</v>
      </c>
      <c r="V29" s="36">
        <v>-7.31318887793799E-2</v>
      </c>
      <c r="W29" s="36">
        <v>1</v>
      </c>
    </row>
    <row r="30" spans="1:42" x14ac:dyDescent="0.25">
      <c r="A30">
        <v>25</v>
      </c>
      <c r="B30" t="s">
        <v>15</v>
      </c>
      <c r="C30">
        <v>64.3</v>
      </c>
      <c r="D30">
        <v>1.65</v>
      </c>
      <c r="E30">
        <v>183</v>
      </c>
      <c r="F30">
        <v>169</v>
      </c>
      <c r="G30">
        <v>67</v>
      </c>
      <c r="H30">
        <v>1.28</v>
      </c>
      <c r="I30">
        <v>1783</v>
      </c>
      <c r="J30" t="s">
        <v>18</v>
      </c>
      <c r="K30">
        <v>20</v>
      </c>
      <c r="L30">
        <v>3.2</v>
      </c>
      <c r="M30">
        <v>2</v>
      </c>
      <c r="N30">
        <v>3</v>
      </c>
      <c r="O30">
        <v>20.59</v>
      </c>
    </row>
    <row r="31" spans="1:42" x14ac:dyDescent="0.25">
      <c r="A31">
        <v>32</v>
      </c>
      <c r="B31" t="s">
        <v>17</v>
      </c>
      <c r="C31">
        <v>72.400000000000006</v>
      </c>
      <c r="D31">
        <v>1.74</v>
      </c>
      <c r="E31">
        <v>189</v>
      </c>
      <c r="F31">
        <v>127</v>
      </c>
      <c r="G31">
        <v>60</v>
      </c>
      <c r="H31">
        <v>1.4</v>
      </c>
      <c r="I31">
        <v>1090</v>
      </c>
      <c r="J31" t="s">
        <v>20</v>
      </c>
      <c r="K31">
        <v>16.899999999999999</v>
      </c>
      <c r="L31">
        <v>1.6</v>
      </c>
      <c r="M31">
        <v>2</v>
      </c>
      <c r="N31">
        <v>1</v>
      </c>
      <c r="O31">
        <v>17.68</v>
      </c>
      <c r="Q31" s="12" t="s">
        <v>54</v>
      </c>
      <c r="R31" s="12"/>
      <c r="S31" s="12"/>
      <c r="T31" s="12"/>
      <c r="U31" s="12"/>
      <c r="AH31" s="33" t="s">
        <v>105</v>
      </c>
      <c r="AI31" s="33"/>
      <c r="AJ31" s="33"/>
      <c r="AL31" s="33" t="s">
        <v>109</v>
      </c>
      <c r="AM31" s="33"/>
    </row>
    <row r="32" spans="1:42" ht="15.75" thickBot="1" x14ac:dyDescent="0.3">
      <c r="A32">
        <v>28</v>
      </c>
      <c r="B32" t="s">
        <v>17</v>
      </c>
      <c r="C32">
        <v>62.4</v>
      </c>
      <c r="D32">
        <v>1.56</v>
      </c>
      <c r="E32">
        <v>193</v>
      </c>
      <c r="F32">
        <v>141</v>
      </c>
      <c r="G32">
        <v>55</v>
      </c>
      <c r="H32">
        <v>2</v>
      </c>
      <c r="I32">
        <v>861</v>
      </c>
      <c r="J32" t="s">
        <v>18</v>
      </c>
      <c r="K32">
        <v>32.200000000000003</v>
      </c>
      <c r="L32">
        <v>3.6</v>
      </c>
      <c r="M32">
        <v>3</v>
      </c>
      <c r="N32">
        <v>1</v>
      </c>
      <c r="O32">
        <v>18.61</v>
      </c>
      <c r="Q32" s="12"/>
      <c r="R32" s="12"/>
      <c r="S32" s="12"/>
      <c r="T32" s="12"/>
      <c r="U32" s="12"/>
      <c r="AH32" s="33"/>
      <c r="AI32" s="33"/>
      <c r="AJ32" s="33"/>
      <c r="AL32" s="33"/>
      <c r="AM32" s="33"/>
    </row>
    <row r="33" spans="1:39" x14ac:dyDescent="0.25">
      <c r="A33">
        <v>27</v>
      </c>
      <c r="B33" t="s">
        <v>15</v>
      </c>
      <c r="C33">
        <v>78.599999999999994</v>
      </c>
      <c r="D33">
        <v>1.65</v>
      </c>
      <c r="E33">
        <v>198</v>
      </c>
      <c r="F33">
        <v>127</v>
      </c>
      <c r="G33">
        <v>66</v>
      </c>
      <c r="H33">
        <v>1.61</v>
      </c>
      <c r="I33">
        <v>938</v>
      </c>
      <c r="J33" t="s">
        <v>20</v>
      </c>
      <c r="K33">
        <v>26.8</v>
      </c>
      <c r="L33">
        <v>3.1</v>
      </c>
      <c r="M33">
        <v>3</v>
      </c>
      <c r="N33">
        <v>1</v>
      </c>
      <c r="O33">
        <v>17.920000000000002</v>
      </c>
      <c r="Q33" s="13"/>
      <c r="R33" s="13" t="s">
        <v>10</v>
      </c>
      <c r="S33" s="13" t="s">
        <v>11</v>
      </c>
      <c r="T33" s="13" t="s">
        <v>12</v>
      </c>
      <c r="U33" s="13" t="s">
        <v>13</v>
      </c>
      <c r="AH33" s="32" t="s">
        <v>106</v>
      </c>
      <c r="AI33" s="32" t="s">
        <v>107</v>
      </c>
      <c r="AJ33" s="32" t="s">
        <v>108</v>
      </c>
      <c r="AL33" s="32" t="s">
        <v>110</v>
      </c>
      <c r="AM33" s="32" t="s">
        <v>6</v>
      </c>
    </row>
    <row r="34" spans="1:39" x14ac:dyDescent="0.25">
      <c r="A34">
        <v>44</v>
      </c>
      <c r="B34" t="s">
        <v>15</v>
      </c>
      <c r="C34">
        <v>45</v>
      </c>
      <c r="D34">
        <v>1.53</v>
      </c>
      <c r="E34">
        <v>199</v>
      </c>
      <c r="F34">
        <v>158</v>
      </c>
      <c r="G34">
        <v>50</v>
      </c>
      <c r="H34">
        <v>0.7</v>
      </c>
      <c r="I34">
        <v>930</v>
      </c>
      <c r="J34" t="s">
        <v>16</v>
      </c>
      <c r="K34">
        <v>21.9</v>
      </c>
      <c r="L34">
        <v>3.6</v>
      </c>
      <c r="M34">
        <v>4</v>
      </c>
      <c r="N34">
        <v>1</v>
      </c>
      <c r="O34">
        <v>27.74</v>
      </c>
      <c r="Q34" s="8" t="s">
        <v>10</v>
      </c>
      <c r="R34" s="8">
        <f>VARP(Sheet1!$K$2:$K$34)</f>
        <v>38.803195592286656</v>
      </c>
      <c r="S34" s="8"/>
      <c r="T34" s="8"/>
      <c r="U34" s="8"/>
      <c r="AH34" s="31">
        <v>1</v>
      </c>
      <c r="AI34" s="31">
        <v>67.30315963034073</v>
      </c>
      <c r="AJ34" s="31">
        <v>6.6968403696592702</v>
      </c>
      <c r="AL34" s="31">
        <v>1.5625</v>
      </c>
      <c r="AM34" s="31">
        <v>50</v>
      </c>
    </row>
    <row r="35" spans="1:39" x14ac:dyDescent="0.25">
      <c r="Q35" s="8" t="s">
        <v>11</v>
      </c>
      <c r="R35" s="8">
        <v>5.3168044077134873E-2</v>
      </c>
      <c r="S35" s="8">
        <f>VARP(Sheet1!$L$2:$L$34)</f>
        <v>0.42299357208448479</v>
      </c>
      <c r="T35" s="8"/>
      <c r="U35" s="8"/>
      <c r="AH35" s="31">
        <v>2</v>
      </c>
      <c r="AI35" s="31">
        <v>64.014654105721405</v>
      </c>
      <c r="AJ35" s="31">
        <v>8.9853458942785949</v>
      </c>
      <c r="AL35" s="31">
        <v>4.6875</v>
      </c>
      <c r="AM35" s="31">
        <v>52</v>
      </c>
    </row>
    <row r="36" spans="1:39" x14ac:dyDescent="0.25">
      <c r="C36" s="16" t="s">
        <v>66</v>
      </c>
      <c r="D36" s="16"/>
      <c r="E36" s="16"/>
      <c r="F36" s="16"/>
      <c r="G36" s="16"/>
      <c r="H36" s="16"/>
      <c r="Q36" s="8" t="s">
        <v>12</v>
      </c>
      <c r="R36" s="8">
        <v>-0.19121093749999993</v>
      </c>
      <c r="S36" s="8">
        <v>-3.7207031249999994E-2</v>
      </c>
      <c r="T36" s="8">
        <f>VARP(Sheet1!$M$2:$M$34)</f>
        <v>1.140495867768595</v>
      </c>
      <c r="U36" s="8"/>
      <c r="AH36" s="31">
        <v>3</v>
      </c>
      <c r="AI36" s="31">
        <v>68.100962745780919</v>
      </c>
      <c r="AJ36" s="31">
        <v>-4.1009627457809188</v>
      </c>
      <c r="AL36" s="31">
        <v>7.8125</v>
      </c>
      <c r="AM36" s="31">
        <v>55</v>
      </c>
    </row>
    <row r="37" spans="1:39" ht="15.75" thickBot="1" x14ac:dyDescent="0.3">
      <c r="C37" s="14" t="s">
        <v>2</v>
      </c>
      <c r="D37" s="14"/>
      <c r="E37" s="14" t="s">
        <v>3</v>
      </c>
      <c r="F37" s="14"/>
      <c r="G37" s="14" t="s">
        <v>4</v>
      </c>
      <c r="H37" s="14"/>
      <c r="Q37" s="9" t="s">
        <v>13</v>
      </c>
      <c r="R37" s="9">
        <v>-0.76904296874999978</v>
      </c>
      <c r="S37" s="9">
        <v>2.3925781249999993E-2</v>
      </c>
      <c r="T37" s="9">
        <v>-0.17377731529656607</v>
      </c>
      <c r="U37" s="9">
        <f>VARP(Sheet1!$N$2:$N$34)</f>
        <v>0.48668503213957759</v>
      </c>
      <c r="AH37" s="31">
        <v>4</v>
      </c>
      <c r="AI37" s="31">
        <v>65.540209331343618</v>
      </c>
      <c r="AJ37" s="31">
        <v>-7.5402093313436183</v>
      </c>
      <c r="AL37" s="31">
        <v>10.9375</v>
      </c>
      <c r="AM37" s="31">
        <v>55</v>
      </c>
    </row>
    <row r="38" spans="1:39" x14ac:dyDescent="0.25">
      <c r="C38" s="15"/>
      <c r="D38" s="15"/>
      <c r="E38" s="15"/>
      <c r="F38" s="15"/>
      <c r="G38" s="15"/>
      <c r="H38" s="15"/>
      <c r="AH38" s="31">
        <v>5</v>
      </c>
      <c r="AI38" s="31">
        <v>66.83615292861964</v>
      </c>
      <c r="AJ38" s="31">
        <v>-0.83615292861964008</v>
      </c>
      <c r="AL38" s="31">
        <v>14.0625</v>
      </c>
      <c r="AM38" s="31">
        <v>55</v>
      </c>
    </row>
    <row r="39" spans="1:39" x14ac:dyDescent="0.25">
      <c r="C39" s="15" t="s">
        <v>55</v>
      </c>
      <c r="D39" s="15">
        <v>73.142424242424255</v>
      </c>
      <c r="E39" s="15" t="s">
        <v>55</v>
      </c>
      <c r="F39" s="15">
        <v>1.7045454545454548</v>
      </c>
      <c r="G39" s="15" t="s">
        <v>55</v>
      </c>
      <c r="H39" s="15">
        <v>182.03030303030303</v>
      </c>
      <c r="AH39" s="31">
        <v>6</v>
      </c>
      <c r="AI39" s="31">
        <v>65.727012012032063</v>
      </c>
      <c r="AJ39" s="31">
        <v>8.2729879879679373</v>
      </c>
      <c r="AL39" s="31">
        <v>17.1875</v>
      </c>
      <c r="AM39" s="31">
        <v>55</v>
      </c>
    </row>
    <row r="40" spans="1:39" x14ac:dyDescent="0.25">
      <c r="C40" s="15" t="s">
        <v>56</v>
      </c>
      <c r="D40" s="15">
        <v>4.1346994099069212</v>
      </c>
      <c r="E40" s="15" t="s">
        <v>56</v>
      </c>
      <c r="F40" s="15">
        <v>2.3270034171829799E-2</v>
      </c>
      <c r="G40" s="15" t="s">
        <v>56</v>
      </c>
      <c r="H40" s="15">
        <v>1.9051787717779729</v>
      </c>
      <c r="O40" s="16" t="s">
        <v>67</v>
      </c>
      <c r="P40" s="16"/>
      <c r="Q40" s="16"/>
      <c r="AH40" s="31">
        <v>7</v>
      </c>
      <c r="AI40" s="31">
        <v>67.318726520398101</v>
      </c>
      <c r="AJ40" s="31">
        <v>6.6812734796018987</v>
      </c>
      <c r="AL40" s="31">
        <v>20.3125</v>
      </c>
      <c r="AM40" s="31">
        <v>55</v>
      </c>
    </row>
    <row r="41" spans="1:39" x14ac:dyDescent="0.25">
      <c r="C41" s="15" t="s">
        <v>57</v>
      </c>
      <c r="D41" s="15">
        <v>71.3</v>
      </c>
      <c r="E41" s="15" t="s">
        <v>57</v>
      </c>
      <c r="F41" s="15">
        <v>1.73</v>
      </c>
      <c r="G41" s="15" t="s">
        <v>57</v>
      </c>
      <c r="H41" s="15">
        <v>183</v>
      </c>
      <c r="K41" s="18" t="s">
        <v>7</v>
      </c>
      <c r="O41" s="16"/>
      <c r="P41" s="16"/>
      <c r="Q41" s="16"/>
      <c r="AH41" s="31">
        <v>8</v>
      </c>
      <c r="AI41" s="31">
        <v>67.423803028285349</v>
      </c>
      <c r="AJ41" s="31">
        <v>-4.4238030282853487</v>
      </c>
      <c r="AL41" s="31">
        <v>23.4375</v>
      </c>
      <c r="AM41" s="31">
        <v>58</v>
      </c>
    </row>
    <row r="42" spans="1:39" x14ac:dyDescent="0.25">
      <c r="C42" s="15" t="s">
        <v>58</v>
      </c>
      <c r="D42" s="15">
        <v>40</v>
      </c>
      <c r="E42" s="15" t="s">
        <v>58</v>
      </c>
      <c r="F42" s="15">
        <v>1.74</v>
      </c>
      <c r="G42" s="15" t="s">
        <v>58</v>
      </c>
      <c r="H42" s="15">
        <v>177</v>
      </c>
      <c r="K42" s="18">
        <f>H2</f>
        <v>1.1200000000000001</v>
      </c>
      <c r="O42" s="19"/>
      <c r="P42" s="19" t="s">
        <v>2</v>
      </c>
      <c r="Q42" s="19" t="s">
        <v>3</v>
      </c>
      <c r="AH42" s="31">
        <v>9</v>
      </c>
      <c r="AI42" s="31">
        <v>65.754254069632452</v>
      </c>
      <c r="AJ42" s="31">
        <v>-1.7542540696324522</v>
      </c>
      <c r="AL42" s="31">
        <v>26.5625</v>
      </c>
      <c r="AM42" s="31">
        <v>60</v>
      </c>
    </row>
    <row r="43" spans="1:39" x14ac:dyDescent="0.25">
      <c r="C43" s="15" t="s">
        <v>59</v>
      </c>
      <c r="D43" s="15">
        <v>23.75203978481413</v>
      </c>
      <c r="E43" s="15" t="s">
        <v>59</v>
      </c>
      <c r="F43" s="15">
        <v>0.13367616908715696</v>
      </c>
      <c r="G43" s="15" t="s">
        <v>59</v>
      </c>
      <c r="H43" s="15">
        <v>10.944418807332942</v>
      </c>
      <c r="K43" s="18">
        <f t="shared" ref="K43:K73" si="0">-0.7*H3+1.7*K42</f>
        <v>1.2040000000000002</v>
      </c>
      <c r="O43" s="20" t="s">
        <v>55</v>
      </c>
      <c r="P43" s="20">
        <v>73.142424242424255</v>
      </c>
      <c r="Q43" s="20">
        <v>1.7045454545454548</v>
      </c>
      <c r="AH43" s="31">
        <v>10</v>
      </c>
      <c r="AI43" s="31">
        <v>67.637847766574183</v>
      </c>
      <c r="AJ43" s="31">
        <v>5.3621522334258174</v>
      </c>
      <c r="AL43" s="31">
        <v>29.6875</v>
      </c>
      <c r="AM43" s="31">
        <v>63</v>
      </c>
    </row>
    <row r="44" spans="1:39" x14ac:dyDescent="0.25">
      <c r="C44" s="15" t="s">
        <v>60</v>
      </c>
      <c r="D44" s="15">
        <v>564.15939393939334</v>
      </c>
      <c r="E44" s="15" t="s">
        <v>60</v>
      </c>
      <c r="F44" s="15">
        <v>1.7869318181818177E-2</v>
      </c>
      <c r="G44" s="15" t="s">
        <v>60</v>
      </c>
      <c r="H44" s="15">
        <v>119.78030303030302</v>
      </c>
      <c r="K44" s="18">
        <f t="shared" si="0"/>
        <v>1.1788000000000003</v>
      </c>
      <c r="O44" s="20" t="s">
        <v>27</v>
      </c>
      <c r="P44" s="20">
        <v>564.15939393939334</v>
      </c>
      <c r="Q44" s="20">
        <v>1.7869318181818177E-2</v>
      </c>
      <c r="AH44" s="31">
        <v>11</v>
      </c>
      <c r="AI44" s="31">
        <v>67.92972695514986</v>
      </c>
      <c r="AJ44" s="31">
        <v>-12.92972695514986</v>
      </c>
      <c r="AL44" s="31">
        <v>32.8125</v>
      </c>
      <c r="AM44" s="31">
        <v>64</v>
      </c>
    </row>
    <row r="45" spans="1:39" x14ac:dyDescent="0.25">
      <c r="C45" s="15" t="s">
        <v>61</v>
      </c>
      <c r="D45" s="15">
        <v>0.26129668537135986</v>
      </c>
      <c r="E45" s="15" t="s">
        <v>61</v>
      </c>
      <c r="F45" s="15">
        <v>-0.94538342806214537</v>
      </c>
      <c r="G45" s="15" t="s">
        <v>61</v>
      </c>
      <c r="H45" s="15">
        <v>-0.82798111444944889</v>
      </c>
      <c r="K45" s="18">
        <f t="shared" si="0"/>
        <v>0.98896000000000073</v>
      </c>
      <c r="O45" s="20" t="s">
        <v>68</v>
      </c>
      <c r="P45" s="20">
        <v>33</v>
      </c>
      <c r="Q45" s="20">
        <v>33</v>
      </c>
      <c r="AH45" s="31">
        <v>12</v>
      </c>
      <c r="AI45" s="31">
        <v>63.909577597834158</v>
      </c>
      <c r="AJ45" s="31">
        <v>5.0904224021658422</v>
      </c>
      <c r="AL45" s="31">
        <v>35.9375</v>
      </c>
      <c r="AM45" s="31">
        <v>64</v>
      </c>
    </row>
    <row r="46" spans="1:39" x14ac:dyDescent="0.25">
      <c r="C46" s="15" t="s">
        <v>62</v>
      </c>
      <c r="D46" s="15">
        <v>0.80756358529669303</v>
      </c>
      <c r="E46" s="15" t="s">
        <v>62</v>
      </c>
      <c r="F46" s="15">
        <v>-4.408583320309855E-2</v>
      </c>
      <c r="G46" s="15" t="s">
        <v>62</v>
      </c>
      <c r="H46" s="15">
        <v>-0.27480881894645537</v>
      </c>
      <c r="K46" s="18">
        <f t="shared" si="0"/>
        <v>0.56123200000000129</v>
      </c>
      <c r="O46" s="20" t="s">
        <v>31</v>
      </c>
      <c r="P46" s="20">
        <v>32</v>
      </c>
      <c r="Q46" s="20">
        <v>32</v>
      </c>
      <c r="AH46" s="31">
        <v>13</v>
      </c>
      <c r="AI46" s="31">
        <v>64.45831047235643</v>
      </c>
      <c r="AJ46" s="31">
        <v>-14.45831047235643</v>
      </c>
      <c r="AL46" s="31">
        <v>39.0625</v>
      </c>
      <c r="AM46" s="31">
        <v>66</v>
      </c>
    </row>
    <row r="47" spans="1:39" x14ac:dyDescent="0.25">
      <c r="C47" s="15" t="s">
        <v>63</v>
      </c>
      <c r="D47" s="15">
        <v>89.9</v>
      </c>
      <c r="E47" s="15" t="s">
        <v>63</v>
      </c>
      <c r="F47" s="15">
        <v>0.48</v>
      </c>
      <c r="G47" s="15" t="s">
        <v>63</v>
      </c>
      <c r="H47" s="15">
        <v>38</v>
      </c>
      <c r="K47" s="18">
        <f t="shared" si="0"/>
        <v>-0.17990559999999778</v>
      </c>
      <c r="O47" s="20" t="s">
        <v>33</v>
      </c>
      <c r="P47" s="20">
        <v>31571.400105988316</v>
      </c>
      <c r="Q47" s="20"/>
      <c r="AH47" s="31">
        <v>14</v>
      </c>
      <c r="AI47" s="31">
        <v>68.739205238133081</v>
      </c>
      <c r="AJ47" s="31">
        <v>2.2607947618669186</v>
      </c>
      <c r="AL47" s="31">
        <v>42.1875</v>
      </c>
      <c r="AM47" s="31">
        <v>66</v>
      </c>
    </row>
    <row r="48" spans="1:39" x14ac:dyDescent="0.25">
      <c r="C48" s="15" t="s">
        <v>64</v>
      </c>
      <c r="D48" s="15">
        <v>40</v>
      </c>
      <c r="E48" s="15" t="s">
        <v>64</v>
      </c>
      <c r="F48" s="15">
        <v>1.5</v>
      </c>
      <c r="G48" s="15" t="s">
        <v>64</v>
      </c>
      <c r="H48" s="15">
        <v>161</v>
      </c>
      <c r="K48" s="18">
        <f t="shared" si="0"/>
        <v>-1.3278395199999962</v>
      </c>
      <c r="O48" s="20" t="s">
        <v>69</v>
      </c>
      <c r="P48" s="20">
        <v>3.0816747530498345E-64</v>
      </c>
      <c r="Q48" s="20"/>
      <c r="AH48" s="31">
        <v>15</v>
      </c>
      <c r="AI48" s="31">
        <v>65.057635739565171</v>
      </c>
      <c r="AJ48" s="31">
        <v>8.9423642604348288</v>
      </c>
      <c r="AL48" s="31">
        <v>45.3125</v>
      </c>
      <c r="AM48" s="31">
        <v>67</v>
      </c>
    </row>
    <row r="49" spans="3:39" x14ac:dyDescent="0.25">
      <c r="C49" s="15" t="s">
        <v>65</v>
      </c>
      <c r="D49" s="15">
        <v>129.9</v>
      </c>
      <c r="E49" s="15" t="s">
        <v>65</v>
      </c>
      <c r="F49" s="15">
        <v>1.98</v>
      </c>
      <c r="G49" s="15" t="s">
        <v>65</v>
      </c>
      <c r="H49" s="15">
        <v>199</v>
      </c>
      <c r="K49" s="18">
        <f t="shared" si="0"/>
        <v>-3.3983271839999931</v>
      </c>
      <c r="O49" s="20" t="s">
        <v>70</v>
      </c>
      <c r="P49" s="20">
        <v>1.8044816079040129</v>
      </c>
      <c r="Q49" s="20"/>
      <c r="AH49" s="31">
        <v>16</v>
      </c>
      <c r="AI49" s="31">
        <v>65.894356080148782</v>
      </c>
      <c r="AJ49" s="31">
        <v>-13.894356080148782</v>
      </c>
      <c r="AL49" s="31">
        <v>48.4375</v>
      </c>
      <c r="AM49" s="31">
        <v>69</v>
      </c>
    </row>
    <row r="50" spans="3:39" x14ac:dyDescent="0.25">
      <c r="C50" s="15" t="s">
        <v>25</v>
      </c>
      <c r="D50" s="15">
        <v>2413.7000000000003</v>
      </c>
      <c r="E50" s="15" t="s">
        <v>25</v>
      </c>
      <c r="F50" s="15">
        <v>56.250000000000007</v>
      </c>
      <c r="G50" s="15" t="s">
        <v>25</v>
      </c>
      <c r="H50" s="15">
        <v>6007</v>
      </c>
      <c r="K50" s="18">
        <f t="shared" si="0"/>
        <v>-6.3161562127999877</v>
      </c>
      <c r="AH50" s="31">
        <v>17</v>
      </c>
      <c r="AI50" s="31">
        <v>67.155274174795721</v>
      </c>
      <c r="AJ50" s="31">
        <v>-12.155274174795721</v>
      </c>
      <c r="AL50" s="31">
        <v>51.5625</v>
      </c>
      <c r="AM50" s="31">
        <v>71</v>
      </c>
    </row>
    <row r="51" spans="3:39" x14ac:dyDescent="0.25">
      <c r="C51" s="15" t="s">
        <v>24</v>
      </c>
      <c r="D51" s="15">
        <v>33</v>
      </c>
      <c r="E51" s="15" t="s">
        <v>24</v>
      </c>
      <c r="F51" s="15">
        <v>33</v>
      </c>
      <c r="G51" s="15" t="s">
        <v>24</v>
      </c>
      <c r="H51" s="15">
        <v>33</v>
      </c>
      <c r="K51" s="18">
        <f t="shared" si="0"/>
        <v>-12.13746556175998</v>
      </c>
      <c r="AH51" s="31">
        <v>18</v>
      </c>
      <c r="AI51" s="31">
        <v>67.225325180053886</v>
      </c>
      <c r="AJ51" s="31">
        <v>6.7746748199461138</v>
      </c>
      <c r="AL51" s="31">
        <v>54.6875</v>
      </c>
      <c r="AM51" s="31">
        <v>71</v>
      </c>
    </row>
    <row r="52" spans="3:39" x14ac:dyDescent="0.25">
      <c r="K52" s="18">
        <f t="shared" si="0"/>
        <v>-21.956691454991965</v>
      </c>
      <c r="N52" s="21" t="s">
        <v>73</v>
      </c>
      <c r="O52" s="21"/>
      <c r="P52" s="21"/>
      <c r="R52" s="4" t="s">
        <v>81</v>
      </c>
      <c r="S52" s="4"/>
      <c r="T52" s="4"/>
      <c r="U52" s="4"/>
      <c r="W52" s="4" t="s">
        <v>83</v>
      </c>
      <c r="X52" s="4"/>
      <c r="Y52" s="4"/>
      <c r="Z52" s="24"/>
      <c r="AA52" s="24"/>
      <c r="AC52" s="25" t="s">
        <v>84</v>
      </c>
      <c r="AD52" s="25"/>
      <c r="AE52" s="25"/>
      <c r="AH52" s="31">
        <v>19</v>
      </c>
      <c r="AI52" s="31">
        <v>66.123967708494988</v>
      </c>
      <c r="AJ52" s="31">
        <v>7.8760322915050125</v>
      </c>
      <c r="AL52" s="31">
        <v>57.8125</v>
      </c>
      <c r="AM52" s="31">
        <v>71</v>
      </c>
    </row>
    <row r="53" spans="3:39" x14ac:dyDescent="0.25">
      <c r="C53" s="14" t="s">
        <v>10</v>
      </c>
      <c r="D53" s="14" t="s">
        <v>72</v>
      </c>
      <c r="K53" s="18">
        <f t="shared" si="0"/>
        <v>-38.726375473486335</v>
      </c>
      <c r="N53" s="21"/>
      <c r="O53" s="21"/>
      <c r="P53" s="21"/>
      <c r="R53" s="4"/>
      <c r="S53" s="4"/>
      <c r="T53" s="4"/>
      <c r="U53" s="4"/>
      <c r="AC53" s="25"/>
      <c r="AD53" s="25"/>
      <c r="AE53" s="25"/>
      <c r="AH53" s="31">
        <v>20</v>
      </c>
      <c r="AI53" s="31">
        <v>66.921770823935177</v>
      </c>
      <c r="AJ53" s="31">
        <v>4.0782291760648235</v>
      </c>
      <c r="AL53" s="31">
        <v>60.9375</v>
      </c>
      <c r="AM53" s="31">
        <v>73</v>
      </c>
    </row>
    <row r="54" spans="3:39" x14ac:dyDescent="0.25">
      <c r="C54" s="17">
        <v>11.6</v>
      </c>
      <c r="D54" s="15">
        <v>0</v>
      </c>
      <c r="K54" s="18">
        <f t="shared" si="0"/>
        <v>-66.961838304926758</v>
      </c>
      <c r="N54" s="19"/>
      <c r="O54" s="19" t="s">
        <v>2</v>
      </c>
      <c r="P54" s="19" t="s">
        <v>3</v>
      </c>
      <c r="R54" s="22"/>
      <c r="S54" s="22">
        <v>5</v>
      </c>
      <c r="T54" s="22" t="s">
        <v>13</v>
      </c>
      <c r="W54" s="26"/>
      <c r="X54" s="26" t="s">
        <v>4</v>
      </c>
      <c r="Y54" s="26" t="s">
        <v>5</v>
      </c>
      <c r="AC54" s="28"/>
      <c r="AD54" s="28" t="s">
        <v>4</v>
      </c>
      <c r="AE54" s="28" t="s">
        <v>5</v>
      </c>
      <c r="AH54" s="31">
        <v>21</v>
      </c>
      <c r="AI54" s="31">
        <v>68.782014185790842</v>
      </c>
      <c r="AJ54" s="31">
        <v>5.2179858142091575</v>
      </c>
      <c r="AL54" s="31">
        <v>64.0625</v>
      </c>
      <c r="AM54" s="31">
        <v>73</v>
      </c>
    </row>
    <row r="55" spans="3:39" x14ac:dyDescent="0.25">
      <c r="C55" s="17">
        <v>11.9</v>
      </c>
      <c r="D55" s="15">
        <v>0</v>
      </c>
      <c r="K55" s="18">
        <f t="shared" si="0"/>
        <v>-114.29012511837549</v>
      </c>
      <c r="N55" s="20" t="s">
        <v>55</v>
      </c>
      <c r="O55" s="20">
        <v>73.142424242424255</v>
      </c>
      <c r="P55" s="20">
        <v>1.7045454545454548</v>
      </c>
      <c r="R55" s="23" t="s">
        <v>55</v>
      </c>
      <c r="S55" s="23">
        <v>3.3548387096774195</v>
      </c>
      <c r="T55" s="23">
        <v>1.71875</v>
      </c>
      <c r="W55" s="27" t="s">
        <v>55</v>
      </c>
      <c r="X55" s="27">
        <v>182.03030303030303</v>
      </c>
      <c r="Y55" s="27">
        <v>147.39393939393941</v>
      </c>
      <c r="AC55" s="29" t="s">
        <v>55</v>
      </c>
      <c r="AD55" s="29">
        <v>182.03030303030303</v>
      </c>
      <c r="AE55" s="29">
        <v>147.39393939393941</v>
      </c>
      <c r="AH55" s="31">
        <v>22</v>
      </c>
      <c r="AI55" s="31">
        <v>63.897902430291133</v>
      </c>
      <c r="AJ55" s="31">
        <v>-8.8979024302911327</v>
      </c>
      <c r="AL55" s="31">
        <v>67.1875</v>
      </c>
      <c r="AM55" s="31">
        <v>74</v>
      </c>
    </row>
    <row r="56" spans="3:39" x14ac:dyDescent="0.25">
      <c r="C56" s="17">
        <v>12.8</v>
      </c>
      <c r="D56" s="15">
        <v>3</v>
      </c>
      <c r="K56" s="18">
        <f t="shared" si="0"/>
        <v>-195.09821270123834</v>
      </c>
      <c r="N56" s="20" t="s">
        <v>27</v>
      </c>
      <c r="O56" s="20">
        <v>564.15939393939334</v>
      </c>
      <c r="P56" s="20">
        <v>1.7869318181818177E-2</v>
      </c>
      <c r="R56" s="23" t="s">
        <v>27</v>
      </c>
      <c r="S56" s="23">
        <v>1.1032258064516138</v>
      </c>
      <c r="T56" s="23">
        <v>0.46673387096774194</v>
      </c>
      <c r="W56" s="27" t="s">
        <v>27</v>
      </c>
      <c r="X56" s="27">
        <v>119.78030303030302</v>
      </c>
      <c r="Y56" s="27">
        <v>236.18371212121201</v>
      </c>
      <c r="AC56" s="29" t="s">
        <v>85</v>
      </c>
      <c r="AD56" s="29">
        <v>120</v>
      </c>
      <c r="AE56" s="29">
        <v>115</v>
      </c>
      <c r="AH56" s="31">
        <v>23</v>
      </c>
      <c r="AI56" s="31">
        <v>67.540554703715614</v>
      </c>
      <c r="AJ56" s="31">
        <v>6.459445296284386</v>
      </c>
      <c r="AL56" s="31">
        <v>70.3125</v>
      </c>
      <c r="AM56" s="31">
        <v>74</v>
      </c>
    </row>
    <row r="57" spans="3:39" x14ac:dyDescent="0.25">
      <c r="C57" s="17">
        <v>14.1</v>
      </c>
      <c r="D57" s="15">
        <v>2</v>
      </c>
      <c r="K57" s="18">
        <f t="shared" si="0"/>
        <v>-332.38796159210517</v>
      </c>
      <c r="N57" s="20" t="s">
        <v>68</v>
      </c>
      <c r="O57" s="20">
        <v>33</v>
      </c>
      <c r="P57" s="20">
        <v>33</v>
      </c>
      <c r="R57" s="23" t="s">
        <v>68</v>
      </c>
      <c r="S57" s="23">
        <v>31</v>
      </c>
      <c r="T57" s="23">
        <v>32</v>
      </c>
      <c r="W57" s="27" t="s">
        <v>68</v>
      </c>
      <c r="X57" s="27">
        <v>33</v>
      </c>
      <c r="Y57" s="27">
        <v>33</v>
      </c>
      <c r="AC57" s="29" t="s">
        <v>68</v>
      </c>
      <c r="AD57" s="29">
        <v>33</v>
      </c>
      <c r="AE57" s="29">
        <v>33</v>
      </c>
      <c r="AH57" s="31">
        <v>24</v>
      </c>
      <c r="AI57" s="31">
        <v>67.089114892051896</v>
      </c>
      <c r="AJ57" s="31">
        <v>3.9108851079481042</v>
      </c>
      <c r="AL57" s="31">
        <v>73.4375</v>
      </c>
      <c r="AM57" s="31">
        <v>74</v>
      </c>
    </row>
    <row r="58" spans="3:39" x14ac:dyDescent="0.25">
      <c r="C58" s="17">
        <v>16</v>
      </c>
      <c r="D58" s="15">
        <v>5</v>
      </c>
      <c r="K58" s="18">
        <f t="shared" si="0"/>
        <v>-566.07453470657879</v>
      </c>
      <c r="N58" s="20" t="s">
        <v>74</v>
      </c>
      <c r="O58" s="20">
        <v>-0.1473423079583655</v>
      </c>
      <c r="P58" s="20"/>
      <c r="R58" s="23" t="s">
        <v>82</v>
      </c>
      <c r="S58" s="23">
        <v>0.779762691697515</v>
      </c>
      <c r="T58" s="23"/>
      <c r="W58" s="27" t="s">
        <v>75</v>
      </c>
      <c r="X58" s="27">
        <v>150</v>
      </c>
      <c r="Y58" s="27"/>
      <c r="AC58" s="29" t="s">
        <v>75</v>
      </c>
      <c r="AD58" s="29">
        <v>150</v>
      </c>
      <c r="AE58" s="29"/>
      <c r="AH58" s="31">
        <v>25</v>
      </c>
      <c r="AI58" s="31">
        <v>67.595038818916407</v>
      </c>
      <c r="AJ58" s="31">
        <v>6.4049611810835927</v>
      </c>
      <c r="AL58" s="31">
        <v>76.5625</v>
      </c>
      <c r="AM58" s="31">
        <v>74</v>
      </c>
    </row>
    <row r="59" spans="3:39" x14ac:dyDescent="0.25">
      <c r="C59" s="17">
        <v>16.899999999999999</v>
      </c>
      <c r="D59" s="15">
        <v>1</v>
      </c>
      <c r="K59" s="18">
        <f t="shared" si="0"/>
        <v>-962.80970900118382</v>
      </c>
      <c r="N59" s="20" t="s">
        <v>75</v>
      </c>
      <c r="O59" s="20">
        <v>1.5</v>
      </c>
      <c r="P59" s="20"/>
      <c r="R59" s="23" t="s">
        <v>75</v>
      </c>
      <c r="S59" s="23">
        <v>4</v>
      </c>
      <c r="T59" s="23"/>
      <c r="W59" s="27" t="s">
        <v>31</v>
      </c>
      <c r="X59" s="27">
        <v>58</v>
      </c>
      <c r="Y59" s="27"/>
      <c r="AC59" s="29" t="s">
        <v>86</v>
      </c>
      <c r="AD59" s="29">
        <v>-43.230670930381237</v>
      </c>
      <c r="AE59" s="29"/>
      <c r="AH59" s="31">
        <v>26</v>
      </c>
      <c r="AI59" s="31">
        <v>66.482006179814491</v>
      </c>
      <c r="AJ59" s="31">
        <v>7.5179938201855094</v>
      </c>
      <c r="AL59" s="31">
        <v>79.6875</v>
      </c>
      <c r="AM59" s="31">
        <v>74</v>
      </c>
    </row>
    <row r="60" spans="3:39" x14ac:dyDescent="0.25">
      <c r="C60" s="17">
        <v>17.5</v>
      </c>
      <c r="D60" s="15">
        <v>0</v>
      </c>
      <c r="K60" s="18">
        <f t="shared" si="0"/>
        <v>-1637.8265053020125</v>
      </c>
      <c r="N60" s="20" t="s">
        <v>31</v>
      </c>
      <c r="O60" s="20">
        <v>32</v>
      </c>
      <c r="P60" s="20"/>
      <c r="R60" s="23" t="s">
        <v>31</v>
      </c>
      <c r="S60" s="23">
        <v>61</v>
      </c>
      <c r="T60" s="23"/>
      <c r="W60" s="27" t="s">
        <v>76</v>
      </c>
      <c r="X60" s="27">
        <v>-35.125527779618693</v>
      </c>
      <c r="Y60" s="27"/>
      <c r="AC60" s="29" t="s">
        <v>87</v>
      </c>
      <c r="AD60" s="29">
        <v>0</v>
      </c>
      <c r="AE60" s="29"/>
      <c r="AH60" s="31">
        <v>27</v>
      </c>
      <c r="AI60" s="31">
        <v>65.618043781630476</v>
      </c>
      <c r="AJ60" s="31">
        <v>-10.618043781630476</v>
      </c>
      <c r="AL60" s="31">
        <v>82.8125</v>
      </c>
      <c r="AM60" s="31">
        <v>74</v>
      </c>
    </row>
    <row r="61" spans="3:39" x14ac:dyDescent="0.25">
      <c r="C61" s="17">
        <v>20</v>
      </c>
      <c r="D61" s="15">
        <v>9</v>
      </c>
      <c r="K61" s="18">
        <f t="shared" si="0"/>
        <v>-2785.2150590134211</v>
      </c>
      <c r="N61" s="20" t="s">
        <v>76</v>
      </c>
      <c r="O61" s="20">
        <v>16.900587862140572</v>
      </c>
      <c r="P61" s="20"/>
      <c r="R61" s="23" t="s">
        <v>76</v>
      </c>
      <c r="S61" s="23">
        <v>-10.622714518632378</v>
      </c>
      <c r="T61" s="23"/>
      <c r="W61" s="27" t="s">
        <v>77</v>
      </c>
      <c r="X61" s="27">
        <v>4.3820987426974072E-41</v>
      </c>
      <c r="Y61" s="27"/>
      <c r="AC61" s="29" t="s">
        <v>88</v>
      </c>
      <c r="AD61" s="29">
        <v>1.6448536269514715</v>
      </c>
      <c r="AE61" s="29"/>
      <c r="AH61" s="31">
        <v>28</v>
      </c>
      <c r="AI61" s="31">
        <v>63.606023241715448</v>
      </c>
      <c r="AJ61" s="31">
        <v>10.393976758284552</v>
      </c>
      <c r="AL61" s="31">
        <v>85.9375</v>
      </c>
      <c r="AM61" s="31">
        <v>74</v>
      </c>
    </row>
    <row r="62" spans="3:39" x14ac:dyDescent="0.25">
      <c r="C62" s="17">
        <v>21.9</v>
      </c>
      <c r="D62" s="15">
        <v>4</v>
      </c>
      <c r="K62" s="18">
        <f t="shared" si="0"/>
        <v>-4735.7546003228163</v>
      </c>
      <c r="N62" s="20" t="s">
        <v>77</v>
      </c>
      <c r="O62" s="20">
        <v>8.2839912071598008E-18</v>
      </c>
      <c r="P62" s="20"/>
      <c r="R62" s="23" t="s">
        <v>77</v>
      </c>
      <c r="S62" s="23">
        <v>8.4041018978638854E-16</v>
      </c>
      <c r="T62" s="23"/>
      <c r="W62" s="27" t="s">
        <v>78</v>
      </c>
      <c r="X62" s="27">
        <v>1.671552762454859</v>
      </c>
      <c r="Y62" s="27"/>
      <c r="AC62" s="29" t="s">
        <v>89</v>
      </c>
      <c r="AD62" s="29">
        <v>0</v>
      </c>
      <c r="AE62" s="29"/>
      <c r="AH62" s="31">
        <v>29</v>
      </c>
      <c r="AI62" s="31">
        <v>66.302986944154739</v>
      </c>
      <c r="AJ62" s="31">
        <v>0.69701305584526096</v>
      </c>
      <c r="AL62" s="31">
        <v>89.0625</v>
      </c>
      <c r="AM62" s="31">
        <v>74</v>
      </c>
    </row>
    <row r="63" spans="3:39" x14ac:dyDescent="0.25">
      <c r="C63" s="17">
        <v>21.9</v>
      </c>
      <c r="D63" s="15">
        <v>0</v>
      </c>
      <c r="K63" s="18">
        <f t="shared" si="0"/>
        <v>-8051.7908205487875</v>
      </c>
      <c r="N63" s="20" t="s">
        <v>78</v>
      </c>
      <c r="O63" s="20">
        <v>1.6938887483837093</v>
      </c>
      <c r="P63" s="20"/>
      <c r="R63" s="23" t="s">
        <v>78</v>
      </c>
      <c r="S63" s="23">
        <v>1.6702194837737363</v>
      </c>
      <c r="T63" s="23"/>
      <c r="W63" s="27" t="s">
        <v>79</v>
      </c>
      <c r="X63" s="27">
        <v>8.7641974853948143E-41</v>
      </c>
      <c r="Y63" s="27"/>
      <c r="AC63" s="29" t="s">
        <v>90</v>
      </c>
      <c r="AD63" s="29">
        <v>1.9599639845400536</v>
      </c>
      <c r="AE63" s="29"/>
      <c r="AH63" s="31">
        <v>30</v>
      </c>
      <c r="AI63" s="31">
        <v>67.194191399939143</v>
      </c>
      <c r="AJ63" s="31">
        <v>-7.1941913999391431</v>
      </c>
      <c r="AL63" s="31">
        <v>92.1875</v>
      </c>
      <c r="AM63" s="31">
        <v>74</v>
      </c>
    </row>
    <row r="64" spans="3:39" x14ac:dyDescent="0.25">
      <c r="C64" s="17">
        <v>22</v>
      </c>
      <c r="D64" s="15">
        <v>0</v>
      </c>
      <c r="K64" s="18">
        <f t="shared" si="0"/>
        <v>-13689.010394932939</v>
      </c>
      <c r="N64" s="20" t="s">
        <v>79</v>
      </c>
      <c r="O64" s="20">
        <v>1.6567982414319602E-17</v>
      </c>
      <c r="P64" s="20"/>
      <c r="R64" s="23" t="s">
        <v>79</v>
      </c>
      <c r="S64" s="23">
        <v>1.6808203795727771E-15</v>
      </c>
      <c r="T64" s="23"/>
      <c r="W64" s="27" t="s">
        <v>80</v>
      </c>
      <c r="X64" s="27">
        <v>2.0017174841452352</v>
      </c>
      <c r="Y64" s="27"/>
      <c r="AH64" s="31">
        <v>31</v>
      </c>
      <c r="AI64" s="31">
        <v>66.894528766334787</v>
      </c>
      <c r="AJ64" s="31">
        <v>-11.894528766334787</v>
      </c>
      <c r="AL64" s="31">
        <v>95.3125</v>
      </c>
      <c r="AM64" s="31">
        <v>74</v>
      </c>
    </row>
    <row r="65" spans="3:39" x14ac:dyDescent="0.25">
      <c r="C65" s="17">
        <v>23.4</v>
      </c>
      <c r="D65" s="15">
        <v>2</v>
      </c>
      <c r="K65" s="18">
        <f t="shared" si="0"/>
        <v>-23271.317671385994</v>
      </c>
      <c r="N65" s="20" t="s">
        <v>80</v>
      </c>
      <c r="O65" s="20">
        <v>2.0369333434601011</v>
      </c>
      <c r="P65" s="20"/>
      <c r="R65" s="23" t="s">
        <v>80</v>
      </c>
      <c r="S65" s="23">
        <v>1.9996235849949404</v>
      </c>
      <c r="T65" s="23"/>
      <c r="AH65" s="31">
        <v>32</v>
      </c>
      <c r="AI65" s="31">
        <v>66.925662546449516</v>
      </c>
      <c r="AJ65" s="31">
        <v>-0.92566254644951584</v>
      </c>
      <c r="AL65" s="31">
        <v>98.4375</v>
      </c>
      <c r="AM65" s="31">
        <v>74</v>
      </c>
    </row>
    <row r="66" spans="3:39" x14ac:dyDescent="0.25">
      <c r="C66" s="17">
        <v>23.8</v>
      </c>
      <c r="D66" s="15">
        <v>1</v>
      </c>
      <c r="K66" s="18">
        <f t="shared" si="0"/>
        <v>-39562.045041356192</v>
      </c>
    </row>
    <row r="67" spans="3:39" x14ac:dyDescent="0.25">
      <c r="C67" s="17">
        <v>23.9</v>
      </c>
      <c r="D67" s="15">
        <v>0</v>
      </c>
      <c r="K67" s="18">
        <f t="shared" si="0"/>
        <v>-67256.834570305524</v>
      </c>
    </row>
    <row r="68" spans="3:39" x14ac:dyDescent="0.25">
      <c r="C68" s="17">
        <v>25.4</v>
      </c>
      <c r="D68" s="15">
        <v>1</v>
      </c>
      <c r="K68" s="18">
        <f t="shared" si="0"/>
        <v>-114337.71076951938</v>
      </c>
    </row>
    <row r="69" spans="3:39" x14ac:dyDescent="0.25">
      <c r="C69" s="17">
        <v>26</v>
      </c>
      <c r="D69" s="15">
        <v>1</v>
      </c>
      <c r="K69" s="18">
        <f t="shared" si="0"/>
        <v>-194375.16530818294</v>
      </c>
    </row>
    <row r="70" spans="3:39" x14ac:dyDescent="0.25">
      <c r="C70" s="17">
        <v>26.4</v>
      </c>
      <c r="D70" s="15">
        <v>0</v>
      </c>
      <c r="K70" s="18">
        <f t="shared" si="0"/>
        <v>-330438.67702391098</v>
      </c>
    </row>
    <row r="71" spans="3:39" x14ac:dyDescent="0.25">
      <c r="C71" s="17">
        <v>26.4</v>
      </c>
      <c r="D71" s="15">
        <v>0</v>
      </c>
      <c r="K71" s="18">
        <f t="shared" si="0"/>
        <v>-561746.73094064859</v>
      </c>
    </row>
    <row r="72" spans="3:39" x14ac:dyDescent="0.25">
      <c r="C72" s="17">
        <v>26.5</v>
      </c>
      <c r="D72" s="15">
        <v>0</v>
      </c>
      <c r="K72" s="18">
        <f t="shared" si="0"/>
        <v>-954970.84259910265</v>
      </c>
    </row>
    <row r="73" spans="3:39" x14ac:dyDescent="0.25">
      <c r="C73" s="17">
        <v>26.6</v>
      </c>
      <c r="D73" s="15">
        <v>0</v>
      </c>
      <c r="K73" s="18">
        <f t="shared" si="0"/>
        <v>-1623451.5594184746</v>
      </c>
    </row>
    <row r="74" spans="3:39" x14ac:dyDescent="0.25">
      <c r="C74" s="17">
        <v>26.8</v>
      </c>
      <c r="D74" s="15">
        <v>0</v>
      </c>
    </row>
    <row r="75" spans="3:39" x14ac:dyDescent="0.25">
      <c r="C75" s="17">
        <v>26.9</v>
      </c>
      <c r="D75" s="15">
        <v>0</v>
      </c>
    </row>
    <row r="76" spans="3:39" x14ac:dyDescent="0.25">
      <c r="C76" s="17">
        <v>27.8</v>
      </c>
      <c r="D76" s="15">
        <v>1</v>
      </c>
    </row>
    <row r="77" spans="3:39" x14ac:dyDescent="0.25">
      <c r="C77" s="17">
        <v>27.9</v>
      </c>
      <c r="D77" s="15">
        <v>0</v>
      </c>
    </row>
    <row r="78" spans="3:39" x14ac:dyDescent="0.25">
      <c r="C78" s="17">
        <v>28.7</v>
      </c>
      <c r="D78" s="15">
        <v>1</v>
      </c>
    </row>
    <row r="79" spans="3:39" x14ac:dyDescent="0.25">
      <c r="C79" s="17">
        <v>28.9</v>
      </c>
      <c r="D79" s="15">
        <v>0</v>
      </c>
    </row>
    <row r="80" spans="3:39" x14ac:dyDescent="0.25">
      <c r="C80" s="17">
        <v>30.5</v>
      </c>
      <c r="D80" s="15">
        <v>0</v>
      </c>
    </row>
    <row r="81" spans="3:12" x14ac:dyDescent="0.25">
      <c r="C81" s="17">
        <v>31.7</v>
      </c>
      <c r="D81" s="15">
        <v>0</v>
      </c>
    </row>
    <row r="82" spans="3:12" x14ac:dyDescent="0.25">
      <c r="C82" s="17">
        <v>31.8</v>
      </c>
      <c r="D82" s="15">
        <v>0</v>
      </c>
    </row>
    <row r="83" spans="3:12" x14ac:dyDescent="0.25">
      <c r="C83" s="17">
        <v>31.9</v>
      </c>
      <c r="D83" s="15">
        <v>0</v>
      </c>
    </row>
    <row r="84" spans="3:12" x14ac:dyDescent="0.25">
      <c r="C84" s="17">
        <v>32.200000000000003</v>
      </c>
      <c r="D84" s="15">
        <v>0</v>
      </c>
    </row>
    <row r="85" spans="3:12" x14ac:dyDescent="0.25">
      <c r="C85" s="17">
        <v>32.5</v>
      </c>
      <c r="D85" s="15">
        <v>0</v>
      </c>
    </row>
    <row r="86" spans="3:12" x14ac:dyDescent="0.25">
      <c r="C86" s="17">
        <v>33.5</v>
      </c>
      <c r="D86" s="15">
        <v>1</v>
      </c>
    </row>
    <row r="87" spans="3:12" x14ac:dyDescent="0.25">
      <c r="C87" s="15" t="s">
        <v>71</v>
      </c>
      <c r="D87" s="15">
        <v>1</v>
      </c>
    </row>
    <row r="91" spans="3:12" x14ac:dyDescent="0.25">
      <c r="H91" t="s">
        <v>21</v>
      </c>
    </row>
    <row r="93" spans="3:12" ht="15.75" thickBot="1" x14ac:dyDescent="0.3">
      <c r="H93" t="s">
        <v>22</v>
      </c>
    </row>
    <row r="94" spans="3:12" x14ac:dyDescent="0.25">
      <c r="H94" s="2" t="s">
        <v>23</v>
      </c>
      <c r="I94" s="2" t="s">
        <v>24</v>
      </c>
      <c r="J94" s="2" t="s">
        <v>25</v>
      </c>
      <c r="K94" s="2" t="s">
        <v>26</v>
      </c>
      <c r="L94" s="2" t="s">
        <v>27</v>
      </c>
    </row>
    <row r="95" spans="3:12" x14ac:dyDescent="0.25">
      <c r="H95" t="s">
        <v>2</v>
      </c>
      <c r="I95">
        <v>33</v>
      </c>
      <c r="J95">
        <v>2413.7000000000003</v>
      </c>
      <c r="K95">
        <v>73.142424242424255</v>
      </c>
      <c r="L95">
        <v>564.15939393939334</v>
      </c>
    </row>
    <row r="96" spans="3:12" ht="15.75" thickBot="1" x14ac:dyDescent="0.3">
      <c r="H96" s="1" t="s">
        <v>3</v>
      </c>
      <c r="I96" s="1">
        <v>33</v>
      </c>
      <c r="J96" s="1">
        <v>56.250000000000007</v>
      </c>
      <c r="K96" s="1">
        <v>1.7045454545454548</v>
      </c>
      <c r="L96" s="1">
        <v>1.7869318181818177E-2</v>
      </c>
    </row>
    <row r="99" spans="8:14" ht="15.75" thickBot="1" x14ac:dyDescent="0.3">
      <c r="H99" t="s">
        <v>28</v>
      </c>
    </row>
    <row r="100" spans="8:14" x14ac:dyDescent="0.25">
      <c r="H100" s="2" t="s">
        <v>29</v>
      </c>
      <c r="I100" s="2" t="s">
        <v>30</v>
      </c>
      <c r="J100" s="2" t="s">
        <v>31</v>
      </c>
      <c r="K100" s="2" t="s">
        <v>32</v>
      </c>
      <c r="L100" s="2" t="s">
        <v>33</v>
      </c>
      <c r="M100" s="2" t="s">
        <v>34</v>
      </c>
      <c r="N100" s="2" t="s">
        <v>35</v>
      </c>
    </row>
    <row r="101" spans="8:14" x14ac:dyDescent="0.25">
      <c r="H101" t="s">
        <v>36</v>
      </c>
      <c r="I101">
        <v>84205.613674242428</v>
      </c>
      <c r="J101">
        <v>1</v>
      </c>
      <c r="K101">
        <v>84205.613674242428</v>
      </c>
      <c r="L101">
        <v>298.50764700454891</v>
      </c>
      <c r="M101">
        <v>8.6605262306400405E-26</v>
      </c>
      <c r="N101">
        <v>3.9909237717402912</v>
      </c>
    </row>
    <row r="102" spans="8:14" x14ac:dyDescent="0.25">
      <c r="H102" t="s">
        <v>37</v>
      </c>
      <c r="I102">
        <v>18053.672424242421</v>
      </c>
      <c r="J102">
        <v>64</v>
      </c>
      <c r="K102">
        <v>282.08863162878782</v>
      </c>
    </row>
    <row r="104" spans="8:14" ht="15.75" thickBot="1" x14ac:dyDescent="0.3">
      <c r="H104" s="1" t="s">
        <v>38</v>
      </c>
      <c r="I104" s="1">
        <v>102259.28609848485</v>
      </c>
      <c r="J104" s="1">
        <v>65</v>
      </c>
      <c r="K104" s="1"/>
      <c r="L104" s="1"/>
      <c r="M104" s="1"/>
      <c r="N104" s="1"/>
    </row>
  </sheetData>
  <sortState xmlns:xlrd2="http://schemas.microsoft.com/office/spreadsheetml/2017/richdata2" ref="AM34:AM65">
    <sortCondition ref="AM34"/>
  </sortState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Sheet11</vt:lpstr>
      <vt:lpstr>Sheet12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2026-06-05T04:17:46Z</dcterms:created>
  <dcterms:modified xsi:type="dcterms:W3CDTF">2026-06-06T04:45:04Z</dcterms:modified>
</cp:coreProperties>
</file>